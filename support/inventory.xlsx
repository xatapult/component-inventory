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Erik\work\xatapult\component-inventory\support\"/>
    </mc:Choice>
  </mc:AlternateContent>
  <xr:revisionPtr revIDLastSave="0" documentId="13_ncr:1_{FA582BB0-6E49-497B-A05A-6ED18717986D}" xr6:coauthVersionLast="47" xr6:coauthVersionMax="47" xr10:uidLastSave="{00000000-0000-0000-0000-000000000000}"/>
  <bookViews>
    <workbookView xWindow="21490" yWindow="-5880" windowWidth="32080" windowHeight="20980" xr2:uid="{7B4DE2BE-437B-4368-A10E-354E74019CAE}"/>
  </bookViews>
  <sheets>
    <sheet name="Components" sheetId="1" r:id="rId1"/>
  </sheets>
  <definedNames>
    <definedName name="_xlnm.Print_Area" localSheetId="0">Components!$A:$D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45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8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85" i="1"/>
  <c r="G112" i="1"/>
  <c r="G111" i="1"/>
  <c r="G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Siegel</author>
  </authors>
  <commentList>
    <comment ref="C1" authorId="0" shapeId="0" xr:uid="{862C948D-90FF-4883-BF1C-C996E3AF2FF2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How is this component called in the overview.
Default: ID
</t>
        </r>
      </text>
    </comment>
    <comment ref="G1" authorId="0" shapeId="0" xr:uid="{ECA93692-CCEC-423D-950A-2EAAB95CD5FF}">
      <text>
        <r>
          <rPr>
            <sz val="9"/>
            <color indexed="81"/>
            <rFont val="Tahoma"/>
            <family val="2"/>
          </rPr>
          <t>Use: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&gt;= 0: exact number
&lt; 0: approximate number
+: a lot (for this kind of thing)
++: an awful lot
+++: An awful, awful lot</t>
        </r>
      </text>
    </comment>
    <comment ref="H1" authorId="0" shapeId="0" xr:uid="{3857E8AF-A2D0-40BE-82C9-8DBF04A47920}">
      <text>
        <r>
          <rPr>
            <sz val="9"/>
            <color indexed="81"/>
            <rFont val="Tahoma"/>
            <family val="2"/>
          </rPr>
          <t xml:space="preserve">Approximately
</t>
        </r>
      </text>
    </comment>
    <comment ref="I1" authorId="0" shapeId="0" xr:uid="{A48C17C0-0D7F-4E29-8E25-A303AF6E16ED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Discontinued? 1/0
Default: 0</t>
        </r>
      </text>
    </comment>
    <comment ref="J1" authorId="0" shapeId="0" xr:uid="{E262FF76-90C5-4210-88CF-D5FFFD1EC4E7}">
      <text>
        <r>
          <rPr>
            <sz val="9"/>
            <color indexed="81"/>
            <rFont val="Tahoma"/>
            <family val="2"/>
          </rPr>
          <t xml:space="preserve">If this is &lt;&gt; 0, there must be a sub-directory in the inventory with the ID of the thing, holding information (picture, datasheet, etc.). If 0, no information is present.
</t>
        </r>
      </text>
    </comment>
    <comment ref="K1" authorId="0" shapeId="0" xr:uid="{D16AE101-691F-4CE0-9F91-85C6830C8655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Overflow in zakje? 1/0
Default: 0
</t>
        </r>
      </text>
    </comment>
    <comment ref="L1" authorId="0" shapeId="0" xr:uid="{6C00A24E-9CFC-4784-AC92-BACE6A0FF605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CBSB = Component box with sub-boxes (default)
CBAW = Component box above workbench
BAG = In small plastic bag (in bags-box)</t>
        </r>
      </text>
    </comment>
    <comment ref="M1" authorId="0" shapeId="0" xr:uid="{7FEC122C-35E7-41B8-B9DA-58B060EB1F62}">
      <text>
        <r>
          <rPr>
            <b/>
            <sz val="9"/>
            <color indexed="81"/>
            <rFont val="Tahoma"/>
            <charset val="1"/>
          </rPr>
          <t>Erik Siegel:</t>
        </r>
        <r>
          <rPr>
            <sz val="9"/>
            <color indexed="81"/>
            <rFont val="Tahoma"/>
            <charset val="1"/>
          </rPr>
          <t xml:space="preserve">
Default: name
if multiple components share the same label, they share a box/bag with that label</t>
        </r>
      </text>
    </comment>
  </commentList>
</comments>
</file>

<file path=xl/sharedStrings.xml><?xml version="1.0" encoding="utf-8"?>
<sst xmlns="http://schemas.openxmlformats.org/spreadsheetml/2006/main" count="787" uniqueCount="412">
  <si>
    <t>Description</t>
  </si>
  <si>
    <t>#</t>
  </si>
  <si>
    <t>Date entered</t>
  </si>
  <si>
    <t>Remarks</t>
  </si>
  <si>
    <t>B250C5000</t>
  </si>
  <si>
    <t>Rectifier 250V/5A</t>
  </si>
  <si>
    <t>TAA765A</t>
  </si>
  <si>
    <t>Opamp</t>
  </si>
  <si>
    <t>HEF4077B</t>
  </si>
  <si>
    <t>4 * 2-input exclusive NOR</t>
  </si>
  <si>
    <t>HEF40098B</t>
  </si>
  <si>
    <t>Hex inverting buffer; 3-state</t>
  </si>
  <si>
    <t>Physical</t>
  </si>
  <si>
    <t>DIP16</t>
  </si>
  <si>
    <t>DIP6</t>
  </si>
  <si>
    <t>DIP14</t>
  </si>
  <si>
    <t>LM3914</t>
  </si>
  <si>
    <t>DIP18</t>
  </si>
  <si>
    <t>LED dot/bar display driver</t>
  </si>
  <si>
    <t>Analogue signal to dot/bar LEDs in a row</t>
  </si>
  <si>
    <t>HEF4104B</t>
  </si>
  <si>
    <t>4 * low-to-high voltage translator; 3-state</t>
  </si>
  <si>
    <t>Category</t>
  </si>
  <si>
    <t>HEF4000</t>
  </si>
  <si>
    <t>NPN Transistor</t>
  </si>
  <si>
    <t>++</t>
  </si>
  <si>
    <t>NE5534AN</t>
  </si>
  <si>
    <t>DIP8</t>
  </si>
  <si>
    <t>+</t>
  </si>
  <si>
    <t>HEF4512B</t>
  </si>
  <si>
    <t>8-input multiplexer; 3-state</t>
  </si>
  <si>
    <t>BTA140-800</t>
  </si>
  <si>
    <t>Triac</t>
  </si>
  <si>
    <t>COMP</t>
  </si>
  <si>
    <t>LM101AH</t>
  </si>
  <si>
    <t>OPAMP</t>
  </si>
  <si>
    <t>BCY87</t>
  </si>
  <si>
    <t>NPN Transistor; Dual</t>
  </si>
  <si>
    <t>LM319N</t>
  </si>
  <si>
    <t>Opamp; Dual</t>
  </si>
  <si>
    <t>HEF4510B</t>
  </si>
  <si>
    <t>Presetable 4bit up/down counter</t>
  </si>
  <si>
    <t>Hogesnelheidsverschilvergelijker</t>
  </si>
  <si>
    <t>LM311N</t>
  </si>
  <si>
    <t>2N2905A</t>
  </si>
  <si>
    <t>PNP Transistor</t>
  </si>
  <si>
    <t>HEF4047B</t>
  </si>
  <si>
    <t>Monostable/astable multivibrator</t>
  </si>
  <si>
    <t>HEF40106B</t>
  </si>
  <si>
    <t>Hex inverting Schmitt trigger</t>
  </si>
  <si>
    <t>4-stage divide-by-8 Johnson counter</t>
  </si>
  <si>
    <t>12-stage binary ripple counter</t>
  </si>
  <si>
    <t>Quad 2-input NAND gate</t>
  </si>
  <si>
    <t>HEF4022B</t>
  </si>
  <si>
    <t>HEF4040B</t>
  </si>
  <si>
    <t>HEF4011B</t>
  </si>
  <si>
    <t>HEF4049B</t>
  </si>
  <si>
    <t>Hex inverting buffers</t>
  </si>
  <si>
    <t>HEF4023B</t>
  </si>
  <si>
    <t>Triple 3-input NAND gate</t>
  </si>
  <si>
    <t>TIP31A</t>
  </si>
  <si>
    <t>NPN Transistor; power</t>
  </si>
  <si>
    <t>2SC1507</t>
  </si>
  <si>
    <t>14 stage binary counter</t>
  </si>
  <si>
    <t>HEF4013B</t>
  </si>
  <si>
    <t>Dual D-type flip-flop</t>
  </si>
  <si>
    <t>BC546B</t>
  </si>
  <si>
    <t>TO92</t>
  </si>
  <si>
    <t>TO220</t>
  </si>
  <si>
    <t>TO998</t>
  </si>
  <si>
    <t>TO71</t>
  </si>
  <si>
    <t>TO39</t>
  </si>
  <si>
    <t>HEF4025B</t>
  </si>
  <si>
    <t>Triple 3-input NOR gate</t>
  </si>
  <si>
    <t>2N2222</t>
  </si>
  <si>
    <t>TO18</t>
  </si>
  <si>
    <t>LM339N</t>
  </si>
  <si>
    <t>Low-Power Low-Offset Voltage Quad Comparators</t>
  </si>
  <si>
    <t>LM7815</t>
  </si>
  <si>
    <t>1.5-A Fixed Voltage Regulator 15V out</t>
  </si>
  <si>
    <t>MPSA56</t>
  </si>
  <si>
    <t>PNP General Purpose Amplifier</t>
  </si>
  <si>
    <t>CNY75GB</t>
  </si>
  <si>
    <t>Optocoupler</t>
  </si>
  <si>
    <t>SN7406</t>
  </si>
  <si>
    <t>SN74</t>
  </si>
  <si>
    <t>Hex invertor/buffer/driver; High voltage output</t>
  </si>
  <si>
    <t>Dual 4-bit static shift register</t>
  </si>
  <si>
    <t>HEF4015B</t>
  </si>
  <si>
    <t>BU508A</t>
  </si>
  <si>
    <t>NPN Power Transistor</t>
  </si>
  <si>
    <t>TO3PN</t>
  </si>
  <si>
    <t>2N3055</t>
  </si>
  <si>
    <t>TO3</t>
  </si>
  <si>
    <t>BT152-800R</t>
  </si>
  <si>
    <t>Thyristor</t>
  </si>
  <si>
    <t>HEF4027B</t>
  </si>
  <si>
    <t>Dual JK flipflop</t>
  </si>
  <si>
    <t>HEF4016B</t>
  </si>
  <si>
    <t>Quadruple bilateral analogue switches</t>
  </si>
  <si>
    <t>HEF40374B</t>
  </si>
  <si>
    <t>DIP20</t>
  </si>
  <si>
    <t>Octal D-type flip-flop with 3-state outputs</t>
  </si>
  <si>
    <t>LH0033CG</t>
  </si>
  <si>
    <t>high speed, FET input, voltage follower/buffer</t>
  </si>
  <si>
    <t>TO8</t>
  </si>
  <si>
    <t>HEF4017B</t>
  </si>
  <si>
    <t>5-stage Johnson decade counter</t>
  </si>
  <si>
    <t>HEF4002B</t>
  </si>
  <si>
    <t>2 4-input NOR gates</t>
  </si>
  <si>
    <t>HEF4028B</t>
  </si>
  <si>
    <t>BCD to decimal decoder</t>
  </si>
  <si>
    <t>2SK727</t>
  </si>
  <si>
    <t>N -channel silicon power MOS-FET</t>
  </si>
  <si>
    <t>HEF40192B</t>
  </si>
  <si>
    <t>4-bit up/down decade counter</t>
  </si>
  <si>
    <t>OQ0003</t>
  </si>
  <si>
    <t>?</t>
  </si>
  <si>
    <t>BD226</t>
  </si>
  <si>
    <t>TO126</t>
  </si>
  <si>
    <t>NPN power transistor</t>
  </si>
  <si>
    <t>Quadruple exclusive-OR gate</t>
  </si>
  <si>
    <t>HEF4030B</t>
  </si>
  <si>
    <t>BC639</t>
  </si>
  <si>
    <t>HEF4071B</t>
  </si>
  <si>
    <t>Quad 2-input OR gate</t>
  </si>
  <si>
    <t>HEF4001B</t>
  </si>
  <si>
    <t>DIP 14</t>
  </si>
  <si>
    <t>Quad 2-input NOR gate</t>
  </si>
  <si>
    <t>HEF4066B</t>
  </si>
  <si>
    <t>Quad single-pole single-throw analog switch</t>
  </si>
  <si>
    <t>See also HEF4016B</t>
  </si>
  <si>
    <t>See also HEF4066B</t>
  </si>
  <si>
    <t>BFY90</t>
  </si>
  <si>
    <t>TO72</t>
  </si>
  <si>
    <t>NPN RF TRansistor</t>
  </si>
  <si>
    <t>BRY39</t>
  </si>
  <si>
    <t>Programmable unijunction</t>
  </si>
  <si>
    <t>Datasheet has example applications</t>
  </si>
  <si>
    <t>HEF4035B</t>
  </si>
  <si>
    <t>4-bit universal shift register</t>
  </si>
  <si>
    <t>HEF4053B</t>
  </si>
  <si>
    <t>Triple single-pole double-throw analog switch</t>
  </si>
  <si>
    <t>C636</t>
  </si>
  <si>
    <t>PNP mediuym power transistor</t>
  </si>
  <si>
    <t>Voltage regulator</t>
  </si>
  <si>
    <t>BFY52</t>
  </si>
  <si>
    <t>NPN transistor</t>
  </si>
  <si>
    <t>NPN medium power transistor</t>
  </si>
  <si>
    <t>HEF4019B</t>
  </si>
  <si>
    <t>Quadruple 2-input multiplexer</t>
  </si>
  <si>
    <t>HEF4051B</t>
  </si>
  <si>
    <t>8-channel analog multiplexer/demultiplexer</t>
  </si>
  <si>
    <t>BC548</t>
  </si>
  <si>
    <t>Hex non-inverting buffers</t>
  </si>
  <si>
    <t>BD140</t>
  </si>
  <si>
    <t>PNP medium power transistor</t>
  </si>
  <si>
    <t>TO225</t>
  </si>
  <si>
    <t>CNX48</t>
  </si>
  <si>
    <t>Darlington optocoupler</t>
  </si>
  <si>
    <t>OPTOCPL</t>
  </si>
  <si>
    <t>HEF45415B</t>
  </si>
  <si>
    <t>DIP24</t>
  </si>
  <si>
    <t>HEF4021B</t>
  </si>
  <si>
    <t>DIP 16</t>
  </si>
  <si>
    <t>8-bit static shift register</t>
  </si>
  <si>
    <t>BUX86</t>
  </si>
  <si>
    <t>BUX86 NPN Si Epibase Power Switch</t>
  </si>
  <si>
    <t>LM741</t>
  </si>
  <si>
    <t>HEF40194B</t>
  </si>
  <si>
    <t>4-bit bidirectional universal shift register</t>
  </si>
  <si>
    <t>LM393</t>
  </si>
  <si>
    <t>Dual Comparators</t>
  </si>
  <si>
    <t>HEF4041B</t>
  </si>
  <si>
    <t>Quadruple true/complement buffer</t>
  </si>
  <si>
    <t>BD204</t>
  </si>
  <si>
    <t>PNP power transistor</t>
  </si>
  <si>
    <t>HEF4518B</t>
  </si>
  <si>
    <t>Dual BCD counter</t>
  </si>
  <si>
    <t>BU806</t>
  </si>
  <si>
    <t>Darlington transistor</t>
  </si>
  <si>
    <t>BSX20</t>
  </si>
  <si>
    <t>Low power bipolar NPN transistor</t>
  </si>
  <si>
    <t>LM723</t>
  </si>
  <si>
    <t>High precision voltage regulator</t>
  </si>
  <si>
    <t>BFQ13</t>
  </si>
  <si>
    <t>TDA4860</t>
  </si>
  <si>
    <t>Vertical deflection power amplifier for monitors</t>
  </si>
  <si>
    <t>HEF4543B</t>
  </si>
  <si>
    <t>BCD to 7-segment latch/decoder/driver</t>
  </si>
  <si>
    <t>4-bit binary full adder</t>
  </si>
  <si>
    <t>HEF4008B</t>
  </si>
  <si>
    <t>SN74LS245N</t>
  </si>
  <si>
    <t>Octal Bus Transceivers With 3-State Outputs</t>
  </si>
  <si>
    <t>ICL232</t>
  </si>
  <si>
    <t>Dual RS-232 Transmitter/Receiver</t>
  </si>
  <si>
    <t>BFY55</t>
  </si>
  <si>
    <t>NPN high frequency transistor</t>
  </si>
  <si>
    <t>BC556B</t>
  </si>
  <si>
    <t>PNP transistor</t>
  </si>
  <si>
    <t>MC7810</t>
  </si>
  <si>
    <t>3-Terminal 1A Positive Voltage Regulator</t>
  </si>
  <si>
    <t>LM7915</t>
  </si>
  <si>
    <t>3-Terminal Negative Regulator</t>
  </si>
  <si>
    <t>AD847</t>
  </si>
  <si>
    <t>CD74HC4066</t>
  </si>
  <si>
    <t>High-Speed CMOS Logic Quad Bilateral Switch</t>
  </si>
  <si>
    <t>74HC4051</t>
  </si>
  <si>
    <t>MC14069</t>
  </si>
  <si>
    <t>Hex inverter</t>
  </si>
  <si>
    <t>Compatible with CD4069</t>
  </si>
  <si>
    <t>HEF4046B</t>
  </si>
  <si>
    <t>Phase-locked loop</t>
  </si>
  <si>
    <t>ATMEGA103</t>
  </si>
  <si>
    <t>8-bit microcontroller</t>
  </si>
  <si>
    <t>MICRO</t>
  </si>
  <si>
    <t>Niet bruikbaar wegens micro aansluitingen</t>
  </si>
  <si>
    <t>DS1220Y</t>
  </si>
  <si>
    <t>16K nonvolatile SRAM</t>
  </si>
  <si>
    <t>TIP112</t>
  </si>
  <si>
    <t>Darlington transistors</t>
  </si>
  <si>
    <t>MC33204P</t>
  </si>
  <si>
    <t>Quad low-voltage opamp</t>
  </si>
  <si>
    <t>F100C</t>
  </si>
  <si>
    <t>Thermal switch 80C</t>
  </si>
  <si>
    <t>KPE827</t>
  </si>
  <si>
    <t xml:space="preserve">Audio Transducer Piezo 50Vp-p 9mA 100dB </t>
  </si>
  <si>
    <t>BD139</t>
  </si>
  <si>
    <t>BC516</t>
  </si>
  <si>
    <t>PNP Darlington transistor</t>
  </si>
  <si>
    <t>BC517</t>
  </si>
  <si>
    <t>NPN Darlington trannsistor</t>
  </si>
  <si>
    <t>BC337</t>
  </si>
  <si>
    <t>DM74LS47</t>
  </si>
  <si>
    <t>BCD to 7-segment decoder/driver</t>
  </si>
  <si>
    <t>MC1458N</t>
  </si>
  <si>
    <t>General purpose operational amplifier</t>
  </si>
  <si>
    <t>74HC74N</t>
  </si>
  <si>
    <t>Dual D-type flip-flop with set and reset</t>
  </si>
  <si>
    <t>ULN2803A</t>
  </si>
  <si>
    <t>Eight darlington arrays; driver</t>
  </si>
  <si>
    <t>BD436</t>
  </si>
  <si>
    <t>PNP Epitaxial Silicon Transistor</t>
  </si>
  <si>
    <t>TXC4000</t>
  </si>
  <si>
    <t>Oscillator 4.000Mhz</t>
  </si>
  <si>
    <t>74HC4316</t>
  </si>
  <si>
    <t>Quad bilateral switch</t>
  </si>
  <si>
    <t>LM2907</t>
  </si>
  <si>
    <t>Frequency to Voltage Converter</t>
  </si>
  <si>
    <t>AD7524JN</t>
  </si>
  <si>
    <t>8-Bit Buffered Multiplying DAC</t>
  </si>
  <si>
    <t>TDA5145</t>
  </si>
  <si>
    <t>Brushless DC motor drive circuit</t>
  </si>
  <si>
    <t>DIP28</t>
  </si>
  <si>
    <t>PC89C51RD</t>
  </si>
  <si>
    <t>Microcintroller</t>
  </si>
  <si>
    <t>DIP40</t>
  </si>
  <si>
    <t>NE5230N</t>
  </si>
  <si>
    <t>IQXO-100C</t>
  </si>
  <si>
    <t>Oscillator 4.9152MHz</t>
  </si>
  <si>
    <t>IRFP9140</t>
  </si>
  <si>
    <t>19A, 100V, 0.200 Ohm, P-Channel Power MOSFET</t>
  </si>
  <si>
    <t>TO247</t>
  </si>
  <si>
    <t>TCA580</t>
  </si>
  <si>
    <t>Gyrator</t>
  </si>
  <si>
    <t>GSIB1540</t>
  </si>
  <si>
    <t>Rectifier 250V/15A</t>
  </si>
  <si>
    <t>SN7407</t>
  </si>
  <si>
    <t>74HC374N</t>
  </si>
  <si>
    <t>74HC</t>
  </si>
  <si>
    <t>Octal D-type flip-flop</t>
  </si>
  <si>
    <t>RO650</t>
  </si>
  <si>
    <t>TDA1034B</t>
  </si>
  <si>
    <t>AD734</t>
  </si>
  <si>
    <t>10 MHz, Four-Quadrant multiplier/divider</t>
  </si>
  <si>
    <t>LA02-0201-1</t>
  </si>
  <si>
    <t>? (accelerometer/inclinometer?)</t>
  </si>
  <si>
    <t>LT1056</t>
  </si>
  <si>
    <t>OP50</t>
  </si>
  <si>
    <t>LH0032CG</t>
  </si>
  <si>
    <t>MAB8440</t>
  </si>
  <si>
    <t>Microcontroller</t>
  </si>
  <si>
    <t>74HC20</t>
  </si>
  <si>
    <t>Dual 4-input NAND gate</t>
  </si>
  <si>
    <t>74HC14</t>
  </si>
  <si>
    <t>Hex Schmitt−Trigger Inverter</t>
  </si>
  <si>
    <t>HEF40193B</t>
  </si>
  <si>
    <t>4-bit up/down binary counter</t>
  </si>
  <si>
    <t>74HC21</t>
  </si>
  <si>
    <t>Dual 4-input AND gate</t>
  </si>
  <si>
    <t>Hex Buffers with High Voltage Open-Collector Outputs</t>
  </si>
  <si>
    <t>74HC86</t>
  </si>
  <si>
    <t>Quadruple 2-input exclusive OR gates</t>
  </si>
  <si>
    <t>74HC165</t>
  </si>
  <si>
    <t>8-bit parallel-in/serial-out shift</t>
  </si>
  <si>
    <t>74HC194</t>
  </si>
  <si>
    <t>74HC373</t>
  </si>
  <si>
    <t>Transparent D-Type Latches</t>
  </si>
  <si>
    <t>74HC10</t>
  </si>
  <si>
    <t>74HC04</t>
  </si>
  <si>
    <t>Hex inverters</t>
  </si>
  <si>
    <t>74HC240</t>
  </si>
  <si>
    <t>Octal buffer/line driver; 3-state; inverting</t>
  </si>
  <si>
    <t>74HC08</t>
  </si>
  <si>
    <t>Quad 2−Input AND Gate</t>
  </si>
  <si>
    <t>RC3403</t>
  </si>
  <si>
    <t>Ground sensing quad opamp</t>
  </si>
  <si>
    <t>745-0007</t>
  </si>
  <si>
    <t>Hexadecimal display with logic</t>
  </si>
  <si>
    <t>LM340</t>
  </si>
  <si>
    <t>74HC11</t>
  </si>
  <si>
    <t>Triple 3-input AND gate</t>
  </si>
  <si>
    <t>LTC1062</t>
  </si>
  <si>
    <t>5th Order low-pass filter</t>
  </si>
  <si>
    <t>74HC85</t>
  </si>
  <si>
    <t>4-bit magnitude comparator</t>
  </si>
  <si>
    <t>74HC163</t>
  </si>
  <si>
    <t>Presettable synchronous 4-bit binary counter</t>
  </si>
  <si>
    <t>74HC162</t>
  </si>
  <si>
    <t>Presettable synchronous BCD decade counter</t>
  </si>
  <si>
    <t>74HC30</t>
  </si>
  <si>
    <t>Single 8-Input NAND Gate</t>
  </si>
  <si>
    <t>74HC273</t>
  </si>
  <si>
    <t>Octal D-type flip-flop with reset; positive-edge trigger</t>
  </si>
  <si>
    <t>Octal 3−State Noninverting bus transceiver</t>
  </si>
  <si>
    <t>74HC245</t>
  </si>
  <si>
    <t>74HC151</t>
  </si>
  <si>
    <t>8-input multiplexer</t>
  </si>
  <si>
    <t>74HC259</t>
  </si>
  <si>
    <t>8-bit addressable latch</t>
  </si>
  <si>
    <t>74HC123</t>
  </si>
  <si>
    <t>Dual Retriggerable Monostable Multivibrators with Resets</t>
  </si>
  <si>
    <t>Looks usefull</t>
  </si>
  <si>
    <t>LN1031</t>
  </si>
  <si>
    <t>74HC221</t>
  </si>
  <si>
    <t>Dual Monostable Multivibrator with Reset</t>
  </si>
  <si>
    <t xml:space="preserve">Like 74HC123? </t>
  </si>
  <si>
    <t>74HC132</t>
  </si>
  <si>
    <t>Quad 2−Input NAND Gate; Schmitt-trigger inputs</t>
  </si>
  <si>
    <t>TCA750</t>
  </si>
  <si>
    <t>Multi-stabilizer for electronic tuning</t>
  </si>
  <si>
    <t>TBA750</t>
  </si>
  <si>
    <t>Limiter/Amplifier</t>
  </si>
  <si>
    <t>TCA420</t>
  </si>
  <si>
    <t>FM IF Amplifier</t>
  </si>
  <si>
    <t>TCA240</t>
  </si>
  <si>
    <t>Double balanced modulator/demodulator</t>
  </si>
  <si>
    <t>TCA220</t>
  </si>
  <si>
    <t>Triple OpAmp Emitter-follower Output</t>
  </si>
  <si>
    <t>74HC174</t>
  </si>
  <si>
    <t>Hex D-type flip-flop with reset; positive-edge trigger</t>
  </si>
  <si>
    <t>74HC27</t>
  </si>
  <si>
    <t>74HC06</t>
  </si>
  <si>
    <t>Hex Inverter Buffers and Drivers With Open-Collector High-Voltage Outputs</t>
  </si>
  <si>
    <t>74HC192</t>
  </si>
  <si>
    <t>Presettable Synchronous 4-Bit Up/Down Counters (BCD &amp; BInary)</t>
  </si>
  <si>
    <t>74HC244</t>
  </si>
  <si>
    <t>Octal 3-state noninverting buffer/line driver/line receiver</t>
  </si>
  <si>
    <t>74HC00</t>
  </si>
  <si>
    <t>Quadruple 2-input NAND gates</t>
  </si>
  <si>
    <t>74HC153</t>
  </si>
  <si>
    <t>Dual 4-input multiplexer</t>
  </si>
  <si>
    <t>74HC32</t>
  </si>
  <si>
    <t>Quadruple 2-input OR gates</t>
  </si>
  <si>
    <t>74HC161</t>
  </si>
  <si>
    <t>Presettable synchronous 4-bit binary counter; asynchronous reset</t>
  </si>
  <si>
    <t>74HC02</t>
  </si>
  <si>
    <t>Quad 2−Input NOR Gate</t>
  </si>
  <si>
    <t>74HC175</t>
  </si>
  <si>
    <t>Quad D-type flip-flop with reset; positive-edge trigger</t>
  </si>
  <si>
    <t>TL084</t>
  </si>
  <si>
    <t>FET-Input Operational Amplifiers</t>
  </si>
  <si>
    <t>Dis?</t>
  </si>
  <si>
    <t>Inf?</t>
  </si>
  <si>
    <t>Ovf?</t>
  </si>
  <si>
    <t>Label</t>
  </si>
  <si>
    <t>ID</t>
  </si>
  <si>
    <t>TCA/TBA</t>
  </si>
  <si>
    <t>OPAMP A</t>
  </si>
  <si>
    <t>TRANS A</t>
  </si>
  <si>
    <t>Name</t>
  </si>
  <si>
    <t>Price</t>
  </si>
  <si>
    <t>BD240</t>
  </si>
  <si>
    <t>Both A and B variant</t>
  </si>
  <si>
    <t>TIP30</t>
  </si>
  <si>
    <t>BAG</t>
  </si>
  <si>
    <t>Is this like NE555?</t>
  </si>
  <si>
    <t>HEF4050B</t>
  </si>
  <si>
    <t>Where</t>
  </si>
  <si>
    <t>NE555</t>
  </si>
  <si>
    <t>Precision timer</t>
  </si>
  <si>
    <t>CBAW</t>
  </si>
  <si>
    <t>PC817</t>
  </si>
  <si>
    <t>DIP4</t>
  </si>
  <si>
    <t>74LS47</t>
  </si>
  <si>
    <t>74LS245</t>
  </si>
  <si>
    <t>ULN2003A</t>
  </si>
  <si>
    <t>Seven darlington arrays; driver</t>
  </si>
  <si>
    <t>L9110</t>
  </si>
  <si>
    <t>Motor controller driver</t>
  </si>
  <si>
    <t>Quadruple Half-H Motor Drivers</t>
  </si>
  <si>
    <t>DIO16</t>
  </si>
  <si>
    <t>MOTOR</t>
  </si>
  <si>
    <t>L293</t>
  </si>
  <si>
    <t>CD4093</t>
  </si>
  <si>
    <t>Quad 2 input NAND Schmitt triggers</t>
  </si>
  <si>
    <t>LM386</t>
  </si>
  <si>
    <t xml:space="preserve"> Low Voltage Audio Power Amplifier</t>
  </si>
  <si>
    <t>24C65</t>
  </si>
  <si>
    <t>64K I2C Smart Serial EEPROM</t>
  </si>
  <si>
    <t>1-of-16 decoder/demultiplexer with input latches (?)</t>
  </si>
  <si>
    <t>Not sure whether the name/id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</si>
</sst>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2" fillId="2" borderId="0" xfId="0" applyNumberFormat="1" applyFont="1" applyFill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44" fontId="0" fillId="0" borderId="0" xfId="1" applyFont="1" applyAlignment="1">
      <alignment horizontal="right" vertical="top" wrapText="1"/>
    </xf>
    <xf numFmtId="0" fontId="2" fillId="2" borderId="0" xfId="1" applyNumberFormat="1" applyFont="1" applyFill="1" applyAlignment="1">
      <alignment horizontal="center" vertical="top" wrapText="1"/>
    </xf>
    <xf numFmtId="0" fontId="0" fillId="0" borderId="0" xfId="1" applyNumberFormat="1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4" fontId="2" fillId="2" borderId="0" xfId="1" applyFont="1" applyFill="1" applyAlignment="1">
      <alignment horizontal="left" vertical="top" wrapText="1"/>
    </xf>
  </cellXfs>
  <cellStyles count="2">
    <cellStyle name="Currency" xfId="1" builtinId="4"/>
    <cellStyle name="Normal" xfId="0" builtinId="0"/>
  </cellStyles>
  <dxfs count="14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;@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AA056-3524-4473-A5CB-71002DEDC89B}" name="Table3" displayName="Table3" ref="A1:N186" totalsRowShown="0">
  <autoFilter ref="A1:N186" xr:uid="{CA5AA056-3524-4473-A5CB-71002DEDC89B}"/>
  <sortState xmlns:xlrd2="http://schemas.microsoft.com/office/spreadsheetml/2017/richdata2" ref="A2:N185">
    <sortCondition ref="A1:A185"/>
  </sortState>
  <tableColumns count="14">
    <tableColumn id="2" xr3:uid="{4DC12199-FF40-45B6-B436-8A468545B299}" name="ID" dataDxfId="13"/>
    <tableColumn id="1" xr3:uid="{C4F97701-1496-46B7-9BA9-0E2C3EE5AEE8}" name="Date entered" dataDxfId="12"/>
    <tableColumn id="12" xr3:uid="{3DC0BEEF-6936-4ECB-A1BE-3ED5BD026DB7}" name="Name" dataDxfId="11"/>
    <tableColumn id="3" xr3:uid="{69F80D61-7C25-4979-AC65-07BF974B94CD}" name="Description" dataDxfId="10"/>
    <tableColumn id="4" xr3:uid="{866FE6F7-4C77-4DFC-8276-626C8EFC52FE}" name="Physical" dataDxfId="9"/>
    <tableColumn id="5" xr3:uid="{F0522F8C-239A-47D3-AAC3-84C0298DE03D}" name="Category" dataDxfId="8"/>
    <tableColumn id="6" xr3:uid="{5D10E9C5-0203-477A-BE8A-702095729964}" name="#" dataDxfId="7"/>
    <tableColumn id="7" xr3:uid="{58836982-1560-4468-B3FA-C719BF7A6B8E}" name="Price" dataDxfId="6" dataCellStyle="Currency"/>
    <tableColumn id="8" xr3:uid="{2B911097-BF1F-4AE7-9FBF-4EB61E6FEAA0}" name="Dis?" dataDxfId="5" dataCellStyle="Currency"/>
    <tableColumn id="9" xr3:uid="{733B96AD-1052-4C23-ACF8-4BC73BCF75D1}" name="Inf?" dataDxfId="4"/>
    <tableColumn id="10" xr3:uid="{C11A6F65-BB37-4457-96CC-87484A26B267}" name="Ovf?" dataDxfId="3"/>
    <tableColumn id="15" xr3:uid="{BC66E63E-CC76-4C3F-8F5F-60CBCFF08C6F}" name="Where" dataDxfId="2"/>
    <tableColumn id="13" xr3:uid="{06FDB105-7AEE-46A3-A796-C7E470A60C29}" name="Label" dataDxfId="1"/>
    <tableColumn id="11" xr3:uid="{A74B9126-8E11-4AC0-B51E-172A497977C6}" name="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E352-0B9B-45A5-97A3-5920624A3ECD}">
  <sheetPr>
    <pageSetUpPr fitToPage="1"/>
  </sheetPr>
  <dimension ref="A1:N186"/>
  <sheetViews>
    <sheetView tabSelected="1" zoomScaleNormal="100" workbookViewId="0">
      <pane ySplit="1" topLeftCell="A2" activePane="bottomLeft" state="frozen"/>
      <selection pane="bottomLeft" activeCell="I8" sqref="I8"/>
    </sheetView>
  </sheetViews>
  <sheetFormatPr defaultColWidth="8.88671875" defaultRowHeight="14.4" x14ac:dyDescent="0.3"/>
  <cols>
    <col min="1" max="1" width="12.33203125" style="2" bestFit="1" customWidth="1"/>
    <col min="2" max="2" width="14.5546875" style="4" bestFit="1" customWidth="1"/>
    <col min="3" max="3" width="11.5546875" customWidth="1"/>
    <col min="4" max="4" width="65.88671875" style="11" customWidth="1"/>
    <col min="5" max="5" width="10.5546875" style="2" bestFit="1" customWidth="1"/>
    <col min="6" max="6" width="10.33203125" style="2" bestFit="1" customWidth="1"/>
    <col min="7" max="7" width="10.5546875" style="2" bestFit="1" customWidth="1"/>
    <col min="8" max="8" width="10.44140625" style="9" customWidth="1"/>
    <col min="9" max="9" width="11.88671875" style="5" customWidth="1"/>
    <col min="10" max="10" width="9" style="7" bestFit="1" customWidth="1"/>
    <col min="11" max="11" width="8.44140625" style="9" bestFit="1" customWidth="1"/>
    <col min="12" max="12" width="12.33203125" style="11" customWidth="1"/>
    <col min="13" max="13" width="11.5546875" style="11" bestFit="1" customWidth="1"/>
    <col min="14" max="14" width="59.109375" style="11" customWidth="1"/>
    <col min="15" max="16384" width="8.88671875" style="2"/>
  </cols>
  <sheetData>
    <row r="1" spans="1:14" s="1" customFormat="1" x14ac:dyDescent="0.3">
      <c r="A1" s="1" t="s">
        <v>376</v>
      </c>
      <c r="B1" s="3" t="s">
        <v>2</v>
      </c>
      <c r="C1" s="12" t="s">
        <v>380</v>
      </c>
      <c r="D1" s="1" t="s">
        <v>0</v>
      </c>
      <c r="E1" s="1" t="s">
        <v>12</v>
      </c>
      <c r="F1" s="1" t="s">
        <v>22</v>
      </c>
      <c r="G1" s="8" t="s">
        <v>1</v>
      </c>
      <c r="H1" s="13" t="s">
        <v>381</v>
      </c>
      <c r="I1" s="6" t="s">
        <v>372</v>
      </c>
      <c r="J1" s="8" t="s">
        <v>373</v>
      </c>
      <c r="K1" s="8" t="s">
        <v>374</v>
      </c>
      <c r="L1" s="12" t="s">
        <v>388</v>
      </c>
      <c r="M1" s="12" t="s">
        <v>375</v>
      </c>
      <c r="N1" s="12" t="s">
        <v>3</v>
      </c>
    </row>
    <row r="2" spans="1:14" x14ac:dyDescent="0.3">
      <c r="A2" s="11" t="s">
        <v>74</v>
      </c>
      <c r="B2" s="4">
        <v>45588</v>
      </c>
      <c r="C2" s="11"/>
      <c r="D2" s="2" t="s">
        <v>24</v>
      </c>
      <c r="E2" s="2" t="s">
        <v>75</v>
      </c>
      <c r="F2" s="11" t="s">
        <v>33</v>
      </c>
      <c r="G2" s="9">
        <v>7</v>
      </c>
      <c r="H2" s="5">
        <v>1</v>
      </c>
      <c r="I2" s="7"/>
      <c r="J2" s="9"/>
    </row>
    <row r="3" spans="1:14" x14ac:dyDescent="0.3">
      <c r="A3" s="11" t="s">
        <v>44</v>
      </c>
      <c r="B3" s="4">
        <v>45586</v>
      </c>
      <c r="C3" s="11"/>
      <c r="D3" s="2" t="s">
        <v>45</v>
      </c>
      <c r="E3" s="2" t="s">
        <v>71</v>
      </c>
      <c r="F3" s="11" t="s">
        <v>33</v>
      </c>
      <c r="G3" s="9">
        <v>4</v>
      </c>
      <c r="H3" s="5">
        <v>2</v>
      </c>
      <c r="I3" s="7"/>
      <c r="J3" s="9"/>
      <c r="M3" s="11" t="s">
        <v>379</v>
      </c>
    </row>
    <row r="4" spans="1:14" x14ac:dyDescent="0.3">
      <c r="A4" s="11" t="s">
        <v>92</v>
      </c>
      <c r="B4" s="4">
        <v>45588</v>
      </c>
      <c r="C4" s="11"/>
      <c r="D4" t="s">
        <v>90</v>
      </c>
      <c r="E4" s="2" t="s">
        <v>93</v>
      </c>
      <c r="F4" s="11" t="s">
        <v>33</v>
      </c>
      <c r="G4" s="9">
        <v>2</v>
      </c>
      <c r="H4" s="5">
        <v>3</v>
      </c>
      <c r="I4" s="7"/>
      <c r="J4" s="9"/>
      <c r="L4" s="11" t="s">
        <v>385</v>
      </c>
    </row>
    <row r="5" spans="1:14" x14ac:dyDescent="0.3">
      <c r="A5" s="11" t="s">
        <v>62</v>
      </c>
      <c r="B5" s="4">
        <v>45586</v>
      </c>
      <c r="C5" s="11"/>
      <c r="D5" s="2" t="s">
        <v>61</v>
      </c>
      <c r="E5" s="2" t="s">
        <v>68</v>
      </c>
      <c r="F5" s="11" t="s">
        <v>33</v>
      </c>
      <c r="G5" s="9">
        <v>4</v>
      </c>
      <c r="H5" s="5">
        <v>2</v>
      </c>
      <c r="I5" s="7"/>
      <c r="J5" s="9"/>
      <c r="M5" s="11" t="s">
        <v>379</v>
      </c>
    </row>
    <row r="6" spans="1:14" x14ac:dyDescent="0.3">
      <c r="A6" s="11" t="s">
        <v>112</v>
      </c>
      <c r="B6" s="4">
        <v>45588</v>
      </c>
      <c r="C6" s="11"/>
      <c r="D6" s="2" t="s">
        <v>113</v>
      </c>
      <c r="E6" s="2" t="s">
        <v>91</v>
      </c>
      <c r="F6" s="11" t="s">
        <v>33</v>
      </c>
      <c r="G6" s="9">
        <v>2</v>
      </c>
      <c r="H6" s="5">
        <v>0.5</v>
      </c>
      <c r="I6" s="7"/>
      <c r="J6" s="9"/>
    </row>
    <row r="7" spans="1:14" x14ac:dyDescent="0.3">
      <c r="A7" s="11" t="s">
        <v>307</v>
      </c>
      <c r="B7" s="4">
        <v>45609</v>
      </c>
      <c r="C7" s="11"/>
      <c r="D7" s="2" t="s">
        <v>308</v>
      </c>
      <c r="F7" s="11"/>
      <c r="G7" s="9">
        <v>1</v>
      </c>
      <c r="H7" s="5"/>
      <c r="I7" s="7"/>
      <c r="J7" s="9"/>
      <c r="L7" s="11" t="s">
        <v>385</v>
      </c>
    </row>
    <row r="8" spans="1:14" x14ac:dyDescent="0.3">
      <c r="A8" s="11" t="s">
        <v>358</v>
      </c>
      <c r="B8" s="4">
        <v>45612</v>
      </c>
      <c r="C8" s="11"/>
      <c r="D8" s="2" t="s">
        <v>359</v>
      </c>
      <c r="E8" s="2" t="s">
        <v>15</v>
      </c>
      <c r="F8" s="11" t="s">
        <v>269</v>
      </c>
      <c r="G8" s="9" t="s">
        <v>28</v>
      </c>
      <c r="H8" s="5">
        <v>0.1</v>
      </c>
      <c r="I8" s="7"/>
      <c r="J8" s="9"/>
      <c r="K8" s="9">
        <v>1</v>
      </c>
      <c r="M8" s="11" t="str">
        <f>REPLACE(Table3[[#This Row],[ID]], 1, 2, "")</f>
        <v>HC00</v>
      </c>
    </row>
    <row r="9" spans="1:14" x14ac:dyDescent="0.3">
      <c r="A9" s="11" t="s">
        <v>366</v>
      </c>
      <c r="B9" s="4">
        <v>45612</v>
      </c>
      <c r="C9" s="11"/>
      <c r="D9" t="s">
        <v>367</v>
      </c>
      <c r="E9" s="2" t="s">
        <v>15</v>
      </c>
      <c r="F9" s="11" t="s">
        <v>269</v>
      </c>
      <c r="G9" s="9" t="s">
        <v>28</v>
      </c>
      <c r="H9" s="5"/>
      <c r="I9" s="7"/>
      <c r="J9" s="9"/>
      <c r="M9" s="11" t="str">
        <f>REPLACE(Table3[[#This Row],[ID]], 1, 2, "")</f>
        <v>HC02</v>
      </c>
    </row>
    <row r="10" spans="1:14" x14ac:dyDescent="0.3">
      <c r="A10" s="11" t="s">
        <v>299</v>
      </c>
      <c r="B10" s="4">
        <v>45609</v>
      </c>
      <c r="C10" s="11"/>
      <c r="D10" s="2" t="s">
        <v>300</v>
      </c>
      <c r="E10" s="2" t="s">
        <v>15</v>
      </c>
      <c r="F10" s="11" t="s">
        <v>269</v>
      </c>
      <c r="G10" s="9">
        <v>26</v>
      </c>
      <c r="H10" s="5">
        <v>0.9</v>
      </c>
      <c r="I10" s="7"/>
      <c r="J10" s="9"/>
      <c r="M10" s="11" t="str">
        <f>REPLACE(Table3[[#This Row],[ID]], 1, 2, "")</f>
        <v>HC04</v>
      </c>
    </row>
    <row r="11" spans="1:14" x14ac:dyDescent="0.3">
      <c r="A11" s="11" t="s">
        <v>352</v>
      </c>
      <c r="B11" s="4">
        <v>45612</v>
      </c>
      <c r="C11" s="11"/>
      <c r="D11" t="s">
        <v>353</v>
      </c>
      <c r="E11" s="2" t="s">
        <v>15</v>
      </c>
      <c r="F11" s="11" t="s">
        <v>269</v>
      </c>
      <c r="G11" s="9">
        <v>26</v>
      </c>
      <c r="H11" s="5"/>
      <c r="I11" s="7"/>
      <c r="J11" s="9"/>
      <c r="M11" s="11" t="str">
        <f>REPLACE(Table3[[#This Row],[ID]], 1, 2, "")</f>
        <v>HC06</v>
      </c>
    </row>
    <row r="12" spans="1:14" x14ac:dyDescent="0.3">
      <c r="A12" s="11" t="s">
        <v>303</v>
      </c>
      <c r="B12" s="4">
        <v>45609</v>
      </c>
      <c r="C12" s="11"/>
      <c r="D12" t="s">
        <v>304</v>
      </c>
      <c r="E12" s="2" t="s">
        <v>15</v>
      </c>
      <c r="F12" s="11" t="s">
        <v>269</v>
      </c>
      <c r="G12" s="9" t="s">
        <v>28</v>
      </c>
      <c r="H12" s="5">
        <v>0.8</v>
      </c>
      <c r="I12" s="7"/>
      <c r="J12" s="9"/>
      <c r="M12" s="11" t="str">
        <f>REPLACE(Table3[[#This Row],[ID]], 1, 2, "")</f>
        <v>HC08</v>
      </c>
    </row>
    <row r="13" spans="1:14" x14ac:dyDescent="0.3">
      <c r="A13" s="11" t="s">
        <v>298</v>
      </c>
      <c r="B13" s="4">
        <v>45609</v>
      </c>
      <c r="C13" s="11"/>
      <c r="D13" s="2" t="s">
        <v>59</v>
      </c>
      <c r="E13" s="2" t="s">
        <v>15</v>
      </c>
      <c r="F13" s="11" t="s">
        <v>269</v>
      </c>
      <c r="G13" s="9">
        <v>14</v>
      </c>
      <c r="H13" s="5">
        <v>0.45</v>
      </c>
      <c r="I13" s="7"/>
      <c r="J13" s="9"/>
      <c r="M13" s="11" t="str">
        <f>REPLACE(Table3[[#This Row],[ID]], 1, 2, "")</f>
        <v>HC10</v>
      </c>
    </row>
    <row r="14" spans="1:14" x14ac:dyDescent="0.3">
      <c r="A14" s="11" t="s">
        <v>310</v>
      </c>
      <c r="B14" s="4">
        <v>45610</v>
      </c>
      <c r="C14" s="11"/>
      <c r="D14" s="2" t="s">
        <v>311</v>
      </c>
      <c r="E14" s="2" t="s">
        <v>15</v>
      </c>
      <c r="F14" s="11" t="s">
        <v>269</v>
      </c>
      <c r="G14" s="9">
        <v>19</v>
      </c>
      <c r="H14" s="5">
        <v>0.3</v>
      </c>
      <c r="I14" s="7"/>
      <c r="J14" s="9"/>
      <c r="M14" s="11" t="str">
        <f>REPLACE(Table3[[#This Row],[ID]], 1, 2, "")</f>
        <v>HC11</v>
      </c>
    </row>
    <row r="15" spans="1:14" x14ac:dyDescent="0.3">
      <c r="A15" s="11" t="s">
        <v>330</v>
      </c>
      <c r="B15" s="4">
        <v>45612</v>
      </c>
      <c r="C15" s="11"/>
      <c r="D15" t="s">
        <v>331</v>
      </c>
      <c r="E15" s="2" t="s">
        <v>13</v>
      </c>
      <c r="F15" s="11" t="s">
        <v>269</v>
      </c>
      <c r="G15" s="9" t="s">
        <v>28</v>
      </c>
      <c r="H15" s="5"/>
      <c r="I15" s="7"/>
      <c r="J15" s="9"/>
      <c r="K15" s="9">
        <v>1</v>
      </c>
      <c r="M15" s="11" t="str">
        <f>REPLACE(Table3[[#This Row],[ID]], 1, 2, "")</f>
        <v>HC123</v>
      </c>
      <c r="N15" s="11" t="s">
        <v>386</v>
      </c>
    </row>
    <row r="16" spans="1:14" x14ac:dyDescent="0.3">
      <c r="A16" s="11" t="s">
        <v>337</v>
      </c>
      <c r="B16" s="4">
        <v>45612</v>
      </c>
      <c r="C16" s="11"/>
      <c r="D16" t="s">
        <v>338</v>
      </c>
      <c r="E16" s="2" t="s">
        <v>15</v>
      </c>
      <c r="F16" s="11" t="s">
        <v>269</v>
      </c>
      <c r="G16" s="9" t="s">
        <v>28</v>
      </c>
      <c r="H16" s="5"/>
      <c r="I16" s="7"/>
      <c r="J16" s="9"/>
      <c r="M16" s="11" t="str">
        <f>REPLACE(Table3[[#This Row],[ID]], 1, 2, "")</f>
        <v>HC132</v>
      </c>
    </row>
    <row r="17" spans="1:14" x14ac:dyDescent="0.3">
      <c r="A17" s="11" t="s">
        <v>284</v>
      </c>
      <c r="B17" s="4">
        <v>45609</v>
      </c>
      <c r="C17" s="11"/>
      <c r="D17" t="s">
        <v>285</v>
      </c>
      <c r="E17" s="2" t="s">
        <v>15</v>
      </c>
      <c r="F17" s="11" t="s">
        <v>269</v>
      </c>
      <c r="G17" s="9">
        <v>13</v>
      </c>
      <c r="H17" s="5">
        <v>0.7</v>
      </c>
      <c r="I17" s="7"/>
      <c r="J17" s="9"/>
      <c r="M17" s="11" t="str">
        <f>REPLACE(Table3[[#This Row],[ID]], 1, 2, "")</f>
        <v>HC14</v>
      </c>
    </row>
    <row r="18" spans="1:14" x14ac:dyDescent="0.3">
      <c r="A18" s="11" t="s">
        <v>326</v>
      </c>
      <c r="B18" s="4">
        <v>45610</v>
      </c>
      <c r="C18" s="11"/>
      <c r="D18" t="s">
        <v>327</v>
      </c>
      <c r="E18" s="2" t="s">
        <v>13</v>
      </c>
      <c r="F18" s="11" t="s">
        <v>269</v>
      </c>
      <c r="G18" s="9">
        <v>30</v>
      </c>
      <c r="H18" s="5">
        <v>0.5</v>
      </c>
      <c r="I18" s="7"/>
      <c r="J18" s="9"/>
      <c r="M18" s="11" t="str">
        <f>REPLACE(Table3[[#This Row],[ID]], 1, 2, "")</f>
        <v>HC151</v>
      </c>
    </row>
    <row r="19" spans="1:14" x14ac:dyDescent="0.3">
      <c r="A19" s="11" t="s">
        <v>360</v>
      </c>
      <c r="B19" s="4">
        <v>45612</v>
      </c>
      <c r="C19" s="11"/>
      <c r="D19" t="s">
        <v>361</v>
      </c>
      <c r="E19" s="2" t="s">
        <v>13</v>
      </c>
      <c r="F19" s="11" t="s">
        <v>269</v>
      </c>
      <c r="G19" s="9" t="s">
        <v>28</v>
      </c>
      <c r="H19" s="5"/>
      <c r="I19" s="7"/>
      <c r="J19" s="9"/>
      <c r="M19" s="11" t="str">
        <f>REPLACE(Table3[[#This Row],[ID]], 1, 2, "")</f>
        <v>HC153</v>
      </c>
    </row>
    <row r="20" spans="1:14" x14ac:dyDescent="0.3">
      <c r="A20" s="11" t="s">
        <v>364</v>
      </c>
      <c r="B20" s="4">
        <v>45612</v>
      </c>
      <c r="C20" s="11"/>
      <c r="D20" t="s">
        <v>365</v>
      </c>
      <c r="E20" s="2" t="s">
        <v>13</v>
      </c>
      <c r="F20" s="11" t="s">
        <v>269</v>
      </c>
      <c r="G20" s="9">
        <v>30</v>
      </c>
      <c r="H20" s="5"/>
      <c r="I20" s="7"/>
      <c r="J20" s="9"/>
      <c r="M20" s="11" t="str">
        <f>REPLACE(Table3[[#This Row],[ID]], 1, 2, "")</f>
        <v>HC161</v>
      </c>
    </row>
    <row r="21" spans="1:14" x14ac:dyDescent="0.3">
      <c r="A21" s="11" t="s">
        <v>318</v>
      </c>
      <c r="B21" s="4">
        <v>45610</v>
      </c>
      <c r="C21" s="11"/>
      <c r="D21" s="2" t="s">
        <v>319</v>
      </c>
      <c r="E21" s="2" t="s">
        <v>13</v>
      </c>
      <c r="F21" s="11" t="s">
        <v>269</v>
      </c>
      <c r="G21" s="9" t="s">
        <v>28</v>
      </c>
      <c r="H21" s="5">
        <v>0.8</v>
      </c>
      <c r="I21" s="7"/>
      <c r="J21" s="9"/>
      <c r="K21" s="9">
        <v>1</v>
      </c>
      <c r="M21" s="11" t="str">
        <f>REPLACE(Table3[[#This Row],[ID]], 1, 2, "")</f>
        <v>HC162</v>
      </c>
    </row>
    <row r="22" spans="1:14" x14ac:dyDescent="0.3">
      <c r="A22" s="11" t="s">
        <v>316</v>
      </c>
      <c r="B22" s="4">
        <v>45610</v>
      </c>
      <c r="C22" s="11"/>
      <c r="D22" t="s">
        <v>317</v>
      </c>
      <c r="E22" s="2" t="s">
        <v>13</v>
      </c>
      <c r="F22" s="11" t="s">
        <v>269</v>
      </c>
      <c r="G22" s="9">
        <v>17</v>
      </c>
      <c r="H22" s="5">
        <v>0.7</v>
      </c>
      <c r="I22" s="7"/>
      <c r="J22" s="9"/>
      <c r="M22" s="11" t="str">
        <f>REPLACE(Table3[[#This Row],[ID]], 1, 2, "")</f>
        <v>HC163</v>
      </c>
    </row>
    <row r="23" spans="1:14" x14ac:dyDescent="0.3">
      <c r="A23" s="11" t="s">
        <v>293</v>
      </c>
      <c r="B23" s="4">
        <v>45609</v>
      </c>
      <c r="C23" s="11"/>
      <c r="D23" s="2" t="s">
        <v>294</v>
      </c>
      <c r="E23" s="2" t="s">
        <v>13</v>
      </c>
      <c r="F23" s="11" t="s">
        <v>269</v>
      </c>
      <c r="G23" s="9">
        <v>28</v>
      </c>
      <c r="H23" s="5">
        <v>0.7</v>
      </c>
      <c r="I23" s="7"/>
      <c r="J23" s="9"/>
      <c r="M23" s="11" t="str">
        <f>REPLACE(Table3[[#This Row],[ID]], 1, 2, "")</f>
        <v>HC165</v>
      </c>
    </row>
    <row r="24" spans="1:14" x14ac:dyDescent="0.3">
      <c r="A24" s="11" t="s">
        <v>349</v>
      </c>
      <c r="B24" s="4">
        <v>45612</v>
      </c>
      <c r="C24" s="11"/>
      <c r="D24" t="s">
        <v>350</v>
      </c>
      <c r="E24" s="2" t="s">
        <v>13</v>
      </c>
      <c r="F24" s="11" t="s">
        <v>269</v>
      </c>
      <c r="G24" s="9">
        <v>29</v>
      </c>
      <c r="H24" s="5"/>
      <c r="I24" s="7"/>
      <c r="J24" s="9"/>
      <c r="M24" s="11" t="str">
        <f>REPLACE(Table3[[#This Row],[ID]], 1, 2, "")</f>
        <v>HC174</v>
      </c>
    </row>
    <row r="25" spans="1:14" x14ac:dyDescent="0.3">
      <c r="A25" s="11" t="s">
        <v>368</v>
      </c>
      <c r="B25" s="4">
        <v>45612</v>
      </c>
      <c r="C25" s="11"/>
      <c r="D25" t="s">
        <v>369</v>
      </c>
      <c r="E25" s="2" t="s">
        <v>13</v>
      </c>
      <c r="F25" s="11" t="s">
        <v>269</v>
      </c>
      <c r="G25" s="9">
        <v>16</v>
      </c>
      <c r="H25" s="5"/>
      <c r="I25" s="7"/>
      <c r="J25" s="9"/>
      <c r="M25" s="11" t="str">
        <f>REPLACE(Table3[[#This Row],[ID]], 1, 2, "")</f>
        <v>HC175</v>
      </c>
    </row>
    <row r="26" spans="1:14" x14ac:dyDescent="0.3">
      <c r="A26" s="11" t="s">
        <v>354</v>
      </c>
      <c r="B26" s="4">
        <v>45612</v>
      </c>
      <c r="C26" s="11"/>
      <c r="D26" t="s">
        <v>355</v>
      </c>
      <c r="E26" s="2" t="s">
        <v>13</v>
      </c>
      <c r="F26" s="11" t="s">
        <v>269</v>
      </c>
      <c r="G26" s="9">
        <v>30</v>
      </c>
      <c r="H26" s="5"/>
      <c r="I26" s="7"/>
      <c r="J26" s="9"/>
      <c r="M26" s="11" t="str">
        <f>REPLACE(Table3[[#This Row],[ID]], 1, 2, "")</f>
        <v>HC192</v>
      </c>
    </row>
    <row r="27" spans="1:14" x14ac:dyDescent="0.3">
      <c r="A27" s="11" t="s">
        <v>295</v>
      </c>
      <c r="B27" s="4">
        <v>45609</v>
      </c>
      <c r="C27" s="11"/>
      <c r="D27" t="s">
        <v>170</v>
      </c>
      <c r="E27" s="2" t="s">
        <v>13</v>
      </c>
      <c r="F27" s="11" t="s">
        <v>269</v>
      </c>
      <c r="G27" s="9">
        <v>15</v>
      </c>
      <c r="H27" s="5">
        <v>0.7</v>
      </c>
      <c r="I27" s="7"/>
      <c r="J27" s="9"/>
      <c r="M27" s="11" t="str">
        <f>REPLACE(Table3[[#This Row],[ID]], 1, 2, "")</f>
        <v>HC194</v>
      </c>
    </row>
    <row r="28" spans="1:14" x14ac:dyDescent="0.3">
      <c r="A28" s="11" t="s">
        <v>282</v>
      </c>
      <c r="B28" s="4">
        <v>45609</v>
      </c>
      <c r="C28" s="11"/>
      <c r="D28" s="2" t="s">
        <v>283</v>
      </c>
      <c r="E28" s="2" t="s">
        <v>15</v>
      </c>
      <c r="F28" s="11" t="s">
        <v>269</v>
      </c>
      <c r="G28" s="10" t="s">
        <v>28</v>
      </c>
      <c r="H28" s="5">
        <v>0.6</v>
      </c>
      <c r="I28" s="7"/>
      <c r="J28" s="9"/>
      <c r="M28" s="11" t="str">
        <f>REPLACE(Table3[[#This Row],[ID]], 1, 2, "")</f>
        <v>HC20</v>
      </c>
    </row>
    <row r="29" spans="1:14" x14ac:dyDescent="0.3">
      <c r="A29" s="11" t="s">
        <v>288</v>
      </c>
      <c r="B29" s="4">
        <v>45609</v>
      </c>
      <c r="C29" s="11"/>
      <c r="D29" t="s">
        <v>289</v>
      </c>
      <c r="E29" s="2" t="s">
        <v>15</v>
      </c>
      <c r="F29" s="11" t="s">
        <v>269</v>
      </c>
      <c r="G29" s="10" t="s">
        <v>28</v>
      </c>
      <c r="H29" s="5">
        <v>0.6</v>
      </c>
      <c r="I29" s="7"/>
      <c r="J29" s="9"/>
      <c r="M29" s="11" t="str">
        <f>REPLACE(Table3[[#This Row],[ID]], 1, 2, "")</f>
        <v>HC21</v>
      </c>
    </row>
    <row r="30" spans="1:14" x14ac:dyDescent="0.3">
      <c r="A30" s="11" t="s">
        <v>334</v>
      </c>
      <c r="B30" s="4">
        <v>45612</v>
      </c>
      <c r="C30" s="11"/>
      <c r="D30" t="s">
        <v>335</v>
      </c>
      <c r="E30" s="2" t="s">
        <v>13</v>
      </c>
      <c r="F30" s="11" t="s">
        <v>269</v>
      </c>
      <c r="G30" s="9">
        <v>19</v>
      </c>
      <c r="H30" s="5"/>
      <c r="I30" s="7"/>
      <c r="J30" s="9"/>
      <c r="M30" s="11" t="str">
        <f>REPLACE(Table3[[#This Row],[ID]], 1, 2, "")</f>
        <v>HC221</v>
      </c>
      <c r="N30" s="11" t="s">
        <v>336</v>
      </c>
    </row>
    <row r="31" spans="1:14" x14ac:dyDescent="0.3">
      <c r="A31" s="11" t="s">
        <v>301</v>
      </c>
      <c r="B31" s="4">
        <v>45609</v>
      </c>
      <c r="C31" s="11"/>
      <c r="D31" t="s">
        <v>302</v>
      </c>
      <c r="E31" s="2" t="s">
        <v>101</v>
      </c>
      <c r="F31" s="11" t="s">
        <v>269</v>
      </c>
      <c r="G31" s="9">
        <v>28</v>
      </c>
      <c r="H31" s="5">
        <v>0.4</v>
      </c>
      <c r="I31" s="7"/>
      <c r="J31" s="9"/>
      <c r="M31" s="11" t="str">
        <f>REPLACE(Table3[[#This Row],[ID]], 1, 2, "")</f>
        <v>HC240</v>
      </c>
    </row>
    <row r="32" spans="1:14" x14ac:dyDescent="0.3">
      <c r="A32" s="11" t="s">
        <v>356</v>
      </c>
      <c r="B32" s="4">
        <v>45612</v>
      </c>
      <c r="C32" s="11"/>
      <c r="D32" s="2" t="s">
        <v>357</v>
      </c>
      <c r="E32" s="2" t="s">
        <v>101</v>
      </c>
      <c r="F32" s="11" t="s">
        <v>269</v>
      </c>
      <c r="G32" s="9">
        <v>23</v>
      </c>
      <c r="H32" s="5"/>
      <c r="I32" s="7"/>
      <c r="J32" s="9"/>
      <c r="M32" s="11" t="str">
        <f>REPLACE(Table3[[#This Row],[ID]], 1, 2, "")</f>
        <v>HC244</v>
      </c>
    </row>
    <row r="33" spans="1:14" x14ac:dyDescent="0.3">
      <c r="A33" s="11" t="s">
        <v>325</v>
      </c>
      <c r="B33" s="4">
        <v>45610</v>
      </c>
      <c r="C33" s="11"/>
      <c r="D33" s="2" t="s">
        <v>324</v>
      </c>
      <c r="E33" s="2" t="s">
        <v>101</v>
      </c>
      <c r="F33" s="11" t="s">
        <v>269</v>
      </c>
      <c r="G33" s="9">
        <v>13</v>
      </c>
      <c r="H33" s="5">
        <v>2</v>
      </c>
      <c r="I33" s="7">
        <v>1</v>
      </c>
      <c r="J33" s="9"/>
      <c r="M33" s="11" t="str">
        <f>REPLACE(Table3[[#This Row],[ID]], 1, 2, "")</f>
        <v>HC245</v>
      </c>
    </row>
    <row r="34" spans="1:14" x14ac:dyDescent="0.3">
      <c r="A34" s="11" t="s">
        <v>328</v>
      </c>
      <c r="B34" s="4">
        <v>45612</v>
      </c>
      <c r="C34" s="11"/>
      <c r="D34" t="s">
        <v>329</v>
      </c>
      <c r="E34" s="2" t="s">
        <v>13</v>
      </c>
      <c r="F34" s="11" t="s">
        <v>269</v>
      </c>
      <c r="G34" s="9">
        <v>35</v>
      </c>
      <c r="H34" s="5">
        <v>0.9</v>
      </c>
      <c r="I34" s="7"/>
      <c r="J34" s="9"/>
      <c r="M34" s="11" t="str">
        <f>REPLACE(Table3[[#This Row],[ID]], 1, 2, "")</f>
        <v>HC259</v>
      </c>
      <c r="N34" s="11" t="s">
        <v>332</v>
      </c>
    </row>
    <row r="35" spans="1:14" x14ac:dyDescent="0.3">
      <c r="A35" s="11" t="s">
        <v>351</v>
      </c>
      <c r="B35" s="4">
        <v>45612</v>
      </c>
      <c r="C35" s="11"/>
      <c r="D35" s="2" t="s">
        <v>73</v>
      </c>
      <c r="E35" s="2" t="s">
        <v>15</v>
      </c>
      <c r="F35" s="11" t="s">
        <v>269</v>
      </c>
      <c r="G35" s="9">
        <v>19</v>
      </c>
      <c r="H35" s="5"/>
      <c r="I35" s="7"/>
      <c r="J35" s="9"/>
      <c r="M35" s="11" t="str">
        <f>REPLACE(Table3[[#This Row],[ID]], 1, 2, "")</f>
        <v>HC27</v>
      </c>
    </row>
    <row r="36" spans="1:14" x14ac:dyDescent="0.3">
      <c r="A36" s="11" t="s">
        <v>322</v>
      </c>
      <c r="B36" s="4">
        <v>45610</v>
      </c>
      <c r="C36" s="11"/>
      <c r="D36" t="s">
        <v>323</v>
      </c>
      <c r="E36" s="2" t="s">
        <v>101</v>
      </c>
      <c r="F36" s="11" t="s">
        <v>269</v>
      </c>
      <c r="G36" s="9">
        <v>23</v>
      </c>
      <c r="H36" s="5">
        <v>0.3</v>
      </c>
      <c r="I36" s="7"/>
      <c r="J36" s="9"/>
      <c r="M36" s="11" t="str">
        <f>REPLACE(Table3[[#This Row],[ID]], 1, 2, "")</f>
        <v>HC273</v>
      </c>
    </row>
    <row r="37" spans="1:14" x14ac:dyDescent="0.3">
      <c r="A37" s="11" t="s">
        <v>320</v>
      </c>
      <c r="B37" s="4">
        <v>45610</v>
      </c>
      <c r="C37" s="11"/>
      <c r="D37" t="s">
        <v>321</v>
      </c>
      <c r="E37" s="2" t="s">
        <v>15</v>
      </c>
      <c r="F37" s="11" t="s">
        <v>269</v>
      </c>
      <c r="G37" s="9" t="s">
        <v>28</v>
      </c>
      <c r="H37" s="5">
        <v>0.3</v>
      </c>
      <c r="I37" s="7"/>
      <c r="J37" s="9"/>
      <c r="M37" s="11" t="str">
        <f>REPLACE(Table3[[#This Row],[ID]], 1, 2, "")</f>
        <v>HC30</v>
      </c>
    </row>
    <row r="38" spans="1:14" x14ac:dyDescent="0.3">
      <c r="A38" s="11" t="s">
        <v>362</v>
      </c>
      <c r="B38" s="4">
        <v>45612</v>
      </c>
      <c r="C38" s="11"/>
      <c r="D38" s="2" t="s">
        <v>363</v>
      </c>
      <c r="E38" s="2" t="s">
        <v>15</v>
      </c>
      <c r="F38" s="11" t="s">
        <v>269</v>
      </c>
      <c r="G38" s="9" t="s">
        <v>28</v>
      </c>
      <c r="H38" s="5"/>
      <c r="I38" s="7"/>
      <c r="J38" s="9"/>
      <c r="M38" s="11" t="str">
        <f>REPLACE(Table3[[#This Row],[ID]], 1, 2, "")</f>
        <v>HC32</v>
      </c>
    </row>
    <row r="39" spans="1:14" x14ac:dyDescent="0.3">
      <c r="A39" s="11" t="s">
        <v>296</v>
      </c>
      <c r="B39" s="4">
        <v>45609</v>
      </c>
      <c r="C39" s="11"/>
      <c r="D39" s="2" t="s">
        <v>297</v>
      </c>
      <c r="E39" s="2" t="s">
        <v>101</v>
      </c>
      <c r="F39" s="11" t="s">
        <v>269</v>
      </c>
      <c r="G39" s="10" t="s">
        <v>28</v>
      </c>
      <c r="H39" s="5">
        <v>0.8</v>
      </c>
      <c r="I39" s="7"/>
      <c r="J39" s="9"/>
      <c r="K39" s="9">
        <v>1</v>
      </c>
      <c r="M39" s="11" t="str">
        <f>REPLACE(Table3[[#This Row],[ID]], 1, 2, "")</f>
        <v>HC373</v>
      </c>
    </row>
    <row r="40" spans="1:14" x14ac:dyDescent="0.3">
      <c r="A40" s="11" t="s">
        <v>268</v>
      </c>
      <c r="B40" s="4">
        <v>45609</v>
      </c>
      <c r="C40" s="11"/>
      <c r="D40" t="s">
        <v>270</v>
      </c>
      <c r="E40" s="2" t="s">
        <v>101</v>
      </c>
      <c r="F40" s="11" t="s">
        <v>269</v>
      </c>
      <c r="G40" s="9">
        <v>17</v>
      </c>
      <c r="H40" s="5"/>
      <c r="I40" s="7">
        <v>1</v>
      </c>
      <c r="J40" s="9"/>
      <c r="M40" s="11" t="str">
        <f>REPLACE(Table3[[#This Row],[ID]], 1, 2, "")</f>
        <v>HC374N</v>
      </c>
    </row>
    <row r="41" spans="1:14" x14ac:dyDescent="0.3">
      <c r="A41" s="11" t="s">
        <v>207</v>
      </c>
      <c r="B41" s="4">
        <v>45607</v>
      </c>
      <c r="C41" s="11"/>
      <c r="D41" s="2" t="s">
        <v>152</v>
      </c>
      <c r="E41" s="2" t="s">
        <v>13</v>
      </c>
      <c r="F41" s="11" t="s">
        <v>269</v>
      </c>
      <c r="G41" s="9">
        <v>20</v>
      </c>
      <c r="H41" s="5">
        <v>0.6</v>
      </c>
      <c r="I41" s="7"/>
      <c r="J41" s="9"/>
      <c r="M41" s="11" t="str">
        <f>REPLACE(Table3[[#This Row],[ID]], 1, 2, "")</f>
        <v>HC4051</v>
      </c>
    </row>
    <row r="42" spans="1:14" x14ac:dyDescent="0.3">
      <c r="A42" s="11" t="s">
        <v>245</v>
      </c>
      <c r="B42" s="4">
        <v>45303</v>
      </c>
      <c r="C42" s="11"/>
      <c r="D42" s="2" t="s">
        <v>246</v>
      </c>
      <c r="E42" s="2" t="s">
        <v>13</v>
      </c>
      <c r="F42" s="11" t="s">
        <v>269</v>
      </c>
      <c r="G42" s="10" t="s">
        <v>28</v>
      </c>
      <c r="H42" s="5">
        <v>0.8</v>
      </c>
      <c r="I42" s="7">
        <v>1</v>
      </c>
      <c r="J42" s="9"/>
      <c r="M42" s="11" t="str">
        <f>REPLACE(Table3[[#This Row],[ID]], 1, 2, "")</f>
        <v>HC4316</v>
      </c>
    </row>
    <row r="43" spans="1:14" x14ac:dyDescent="0.3">
      <c r="A43" s="11" t="s">
        <v>237</v>
      </c>
      <c r="B43" s="4">
        <v>45608</v>
      </c>
      <c r="C43" s="11"/>
      <c r="D43" s="2" t="s">
        <v>238</v>
      </c>
      <c r="E43" s="2" t="s">
        <v>15</v>
      </c>
      <c r="F43" s="11" t="s">
        <v>269</v>
      </c>
      <c r="G43" s="10" t="s">
        <v>28</v>
      </c>
      <c r="H43" s="5">
        <v>1.4</v>
      </c>
      <c r="I43" s="7">
        <v>1</v>
      </c>
      <c r="J43" s="9"/>
      <c r="K43" s="9">
        <v>1</v>
      </c>
      <c r="M43" s="11" t="str">
        <f>REPLACE(Table3[[#This Row],[ID]], 1, 2, "")</f>
        <v>HC74N</v>
      </c>
    </row>
    <row r="44" spans="1:14" x14ac:dyDescent="0.3">
      <c r="A44" s="11" t="s">
        <v>314</v>
      </c>
      <c r="B44" s="4">
        <v>45610</v>
      </c>
      <c r="C44" s="11"/>
      <c r="D44" t="s">
        <v>315</v>
      </c>
      <c r="E44" s="2" t="s">
        <v>13</v>
      </c>
      <c r="F44" s="11" t="s">
        <v>269</v>
      </c>
      <c r="G44" s="10" t="s">
        <v>28</v>
      </c>
      <c r="H44" s="5">
        <v>1.5</v>
      </c>
      <c r="I44" s="7"/>
      <c r="J44" s="9"/>
      <c r="M44" s="11" t="str">
        <f>REPLACE(Table3[[#This Row],[ID]], 1, 2, "")</f>
        <v>HC85</v>
      </c>
    </row>
    <row r="45" spans="1:14" x14ac:dyDescent="0.3">
      <c r="A45" s="11" t="s">
        <v>291</v>
      </c>
      <c r="B45" s="4">
        <v>45609</v>
      </c>
      <c r="C45" s="11"/>
      <c r="D45" t="s">
        <v>292</v>
      </c>
      <c r="E45" s="2" t="s">
        <v>15</v>
      </c>
      <c r="F45" s="11" t="s">
        <v>269</v>
      </c>
      <c r="G45" s="9" t="s">
        <v>28</v>
      </c>
      <c r="H45" s="5">
        <v>1.5</v>
      </c>
      <c r="I45" s="7"/>
      <c r="J45" s="9"/>
      <c r="M45" s="11" t="str">
        <f>REPLACE(Table3[[#This Row],[ID]], 1, 2, "")</f>
        <v>HC86</v>
      </c>
    </row>
    <row r="46" spans="1:14" x14ac:dyDescent="0.3">
      <c r="A46" s="11" t="s">
        <v>273</v>
      </c>
      <c r="B46" s="4">
        <v>45609</v>
      </c>
      <c r="C46" s="11"/>
      <c r="D46" t="s">
        <v>274</v>
      </c>
      <c r="E46" s="2" t="s">
        <v>15</v>
      </c>
      <c r="F46" s="11"/>
      <c r="G46" s="9">
        <v>10</v>
      </c>
      <c r="H46" s="5"/>
      <c r="I46" s="7"/>
      <c r="J46" s="9"/>
    </row>
    <row r="47" spans="1:14" x14ac:dyDescent="0.3">
      <c r="A47" s="11" t="s">
        <v>249</v>
      </c>
      <c r="B47" s="4">
        <v>45609</v>
      </c>
      <c r="C47" s="11"/>
      <c r="D47" s="2" t="s">
        <v>250</v>
      </c>
      <c r="E47" s="2" t="s">
        <v>13</v>
      </c>
      <c r="F47" s="11"/>
      <c r="G47" s="9">
        <v>5</v>
      </c>
      <c r="H47" s="5"/>
      <c r="I47" s="7">
        <v>1</v>
      </c>
      <c r="J47" s="9"/>
    </row>
    <row r="48" spans="1:14" x14ac:dyDescent="0.3">
      <c r="A48" s="11" t="s">
        <v>204</v>
      </c>
      <c r="B48" s="4">
        <v>45607</v>
      </c>
      <c r="C48" s="11"/>
      <c r="D48" s="2" t="s">
        <v>7</v>
      </c>
      <c r="E48" s="2" t="s">
        <v>27</v>
      </c>
      <c r="F48" s="11" t="s">
        <v>35</v>
      </c>
      <c r="G48" s="9">
        <v>29</v>
      </c>
      <c r="H48" s="5"/>
      <c r="I48" s="7">
        <v>1</v>
      </c>
      <c r="J48" s="9"/>
    </row>
    <row r="49" spans="1:14" x14ac:dyDescent="0.3">
      <c r="A49" s="11" t="s">
        <v>213</v>
      </c>
      <c r="B49" s="4">
        <v>45607</v>
      </c>
      <c r="C49" s="11"/>
      <c r="D49" s="2" t="s">
        <v>214</v>
      </c>
      <c r="E49" s="2" t="s">
        <v>215</v>
      </c>
      <c r="F49" s="11"/>
      <c r="G49" s="9">
        <v>9</v>
      </c>
      <c r="H49" s="5"/>
      <c r="I49" s="7"/>
      <c r="J49" s="9"/>
      <c r="L49" s="11" t="s">
        <v>385</v>
      </c>
      <c r="N49" s="11" t="s">
        <v>216</v>
      </c>
    </row>
    <row r="50" spans="1:14" x14ac:dyDescent="0.3">
      <c r="A50" s="11" t="s">
        <v>4</v>
      </c>
      <c r="B50" s="4">
        <v>45584</v>
      </c>
      <c r="C50" s="11"/>
      <c r="D50" s="2" t="s">
        <v>5</v>
      </c>
      <c r="F50" s="11" t="s">
        <v>33</v>
      </c>
      <c r="G50" s="9">
        <v>7</v>
      </c>
      <c r="H50" s="5">
        <v>2.5</v>
      </c>
      <c r="I50" s="7"/>
      <c r="J50" s="9"/>
    </row>
    <row r="51" spans="1:14" x14ac:dyDescent="0.3">
      <c r="A51" s="11" t="s">
        <v>232</v>
      </c>
      <c r="B51" s="4">
        <v>45617</v>
      </c>
      <c r="C51" s="11"/>
      <c r="D51" s="2" t="s">
        <v>147</v>
      </c>
      <c r="E51" s="2" t="s">
        <v>67</v>
      </c>
      <c r="F51" s="11" t="s">
        <v>33</v>
      </c>
      <c r="G51" s="9">
        <v>11</v>
      </c>
      <c r="H51" s="5">
        <v>0.4</v>
      </c>
      <c r="I51" s="7"/>
      <c r="J51" s="9"/>
    </row>
    <row r="52" spans="1:14" x14ac:dyDescent="0.3">
      <c r="A52" s="11" t="s">
        <v>228</v>
      </c>
      <c r="B52" s="4">
        <v>45608</v>
      </c>
      <c r="C52" s="11"/>
      <c r="D52" s="2" t="s">
        <v>229</v>
      </c>
      <c r="E52" s="2" t="s">
        <v>67</v>
      </c>
      <c r="F52" s="11" t="s">
        <v>33</v>
      </c>
      <c r="G52" s="9">
        <v>6</v>
      </c>
      <c r="H52" s="5">
        <v>0.6</v>
      </c>
      <c r="I52" s="7"/>
      <c r="J52" s="9"/>
    </row>
    <row r="53" spans="1:14" x14ac:dyDescent="0.3">
      <c r="A53" s="11" t="s">
        <v>230</v>
      </c>
      <c r="B53" s="4">
        <v>45608</v>
      </c>
      <c r="C53" s="11"/>
      <c r="D53" s="2" t="s">
        <v>231</v>
      </c>
      <c r="E53" s="2" t="s">
        <v>67</v>
      </c>
      <c r="F53" s="11" t="s">
        <v>33</v>
      </c>
      <c r="G53" s="9">
        <v>6</v>
      </c>
      <c r="H53" s="5">
        <v>0.3</v>
      </c>
      <c r="I53" s="7"/>
      <c r="J53" s="9"/>
    </row>
    <row r="54" spans="1:14" x14ac:dyDescent="0.3">
      <c r="A54" s="11" t="s">
        <v>66</v>
      </c>
      <c r="B54" s="4">
        <v>45586</v>
      </c>
      <c r="C54" s="11"/>
      <c r="D54" s="2" t="s">
        <v>24</v>
      </c>
      <c r="E54" s="2" t="s">
        <v>67</v>
      </c>
      <c r="F54" s="11" t="s">
        <v>33</v>
      </c>
      <c r="G54" s="10" t="s">
        <v>25</v>
      </c>
      <c r="H54" s="5">
        <v>0.1</v>
      </c>
      <c r="I54" s="7"/>
      <c r="J54" s="9"/>
    </row>
    <row r="55" spans="1:14" x14ac:dyDescent="0.3">
      <c r="A55" s="11" t="s">
        <v>153</v>
      </c>
      <c r="B55" s="4">
        <v>45602</v>
      </c>
      <c r="C55" s="11"/>
      <c r="D55" s="2" t="s">
        <v>147</v>
      </c>
      <c r="E55" s="2" t="s">
        <v>67</v>
      </c>
      <c r="F55" s="11" t="s">
        <v>33</v>
      </c>
      <c r="G55" s="9">
        <v>3</v>
      </c>
      <c r="H55" s="5">
        <v>0.1</v>
      </c>
      <c r="I55" s="7"/>
      <c r="J55" s="9"/>
    </row>
    <row r="56" spans="1:14" x14ac:dyDescent="0.3">
      <c r="A56" s="11" t="s">
        <v>198</v>
      </c>
      <c r="B56" s="4">
        <v>45607</v>
      </c>
      <c r="C56" s="11"/>
      <c r="D56" s="2" t="s">
        <v>199</v>
      </c>
      <c r="E56" s="2" t="s">
        <v>67</v>
      </c>
      <c r="F56" s="11" t="s">
        <v>33</v>
      </c>
      <c r="G56" s="9" t="s">
        <v>28</v>
      </c>
      <c r="H56" s="5">
        <v>0.05</v>
      </c>
      <c r="I56" s="7"/>
      <c r="J56" s="9"/>
    </row>
    <row r="57" spans="1:14" x14ac:dyDescent="0.3">
      <c r="A57" s="11" t="s">
        <v>123</v>
      </c>
      <c r="B57" s="4">
        <v>45590</v>
      </c>
      <c r="C57" s="11"/>
      <c r="D57" s="2" t="s">
        <v>24</v>
      </c>
      <c r="E57" s="2" t="s">
        <v>67</v>
      </c>
      <c r="F57" s="11" t="s">
        <v>33</v>
      </c>
      <c r="G57" s="9">
        <v>5</v>
      </c>
      <c r="H57" s="5">
        <v>0.1</v>
      </c>
      <c r="I57" s="7"/>
      <c r="J57" s="9"/>
    </row>
    <row r="58" spans="1:14" x14ac:dyDescent="0.3">
      <c r="A58" s="11" t="s">
        <v>36</v>
      </c>
      <c r="B58" s="4">
        <v>45586</v>
      </c>
      <c r="C58" s="11"/>
      <c r="D58" s="2" t="s">
        <v>37</v>
      </c>
      <c r="E58" s="2" t="s">
        <v>70</v>
      </c>
      <c r="F58" s="11" t="s">
        <v>33</v>
      </c>
      <c r="G58" s="9" t="s">
        <v>28</v>
      </c>
      <c r="H58" s="5">
        <v>17</v>
      </c>
      <c r="I58" s="7"/>
      <c r="J58" s="9"/>
    </row>
    <row r="59" spans="1:14" x14ac:dyDescent="0.3">
      <c r="A59" s="11" t="s">
        <v>227</v>
      </c>
      <c r="B59" s="4">
        <v>45608</v>
      </c>
      <c r="C59" s="11"/>
      <c r="D59" s="2" t="s">
        <v>24</v>
      </c>
      <c r="E59" s="2" t="s">
        <v>157</v>
      </c>
      <c r="F59" s="11" t="s">
        <v>33</v>
      </c>
      <c r="G59" s="9">
        <v>4</v>
      </c>
      <c r="H59" s="5">
        <v>0.4</v>
      </c>
      <c r="I59" s="7"/>
      <c r="J59" s="9"/>
    </row>
    <row r="60" spans="1:14" x14ac:dyDescent="0.3">
      <c r="A60" s="11" t="s">
        <v>155</v>
      </c>
      <c r="B60" s="4">
        <v>45602</v>
      </c>
      <c r="C60" s="11"/>
      <c r="D60" s="2" t="s">
        <v>156</v>
      </c>
      <c r="E60" s="2" t="s">
        <v>157</v>
      </c>
      <c r="F60" s="11" t="s">
        <v>33</v>
      </c>
      <c r="G60" s="9">
        <v>14</v>
      </c>
      <c r="H60" s="5">
        <v>0.4</v>
      </c>
      <c r="I60" s="7"/>
      <c r="J60" s="9"/>
    </row>
    <row r="61" spans="1:14" x14ac:dyDescent="0.3">
      <c r="A61" s="11" t="s">
        <v>175</v>
      </c>
      <c r="B61" s="4">
        <v>45607</v>
      </c>
      <c r="C61" s="11"/>
      <c r="D61" s="2" t="s">
        <v>176</v>
      </c>
      <c r="E61" s="2" t="s">
        <v>68</v>
      </c>
      <c r="F61" s="11" t="s">
        <v>33</v>
      </c>
      <c r="G61" s="9">
        <v>5</v>
      </c>
      <c r="H61" s="5">
        <v>0.3</v>
      </c>
      <c r="I61" s="7"/>
      <c r="J61" s="9"/>
    </row>
    <row r="62" spans="1:14" x14ac:dyDescent="0.3">
      <c r="A62" s="11" t="s">
        <v>118</v>
      </c>
      <c r="B62" s="4">
        <v>45588</v>
      </c>
      <c r="C62" s="11"/>
      <c r="D62" s="2" t="s">
        <v>120</v>
      </c>
      <c r="E62" s="2" t="s">
        <v>119</v>
      </c>
      <c r="F62" s="11" t="s">
        <v>33</v>
      </c>
      <c r="G62" s="9">
        <v>3</v>
      </c>
      <c r="H62" s="5">
        <v>0.5</v>
      </c>
      <c r="I62" s="7"/>
      <c r="J62" s="9"/>
    </row>
    <row r="63" spans="1:14" x14ac:dyDescent="0.3">
      <c r="A63" s="11" t="s">
        <v>382</v>
      </c>
      <c r="B63" s="4">
        <v>45616</v>
      </c>
      <c r="C63" s="11"/>
      <c r="D63" s="2" t="s">
        <v>199</v>
      </c>
      <c r="E63" s="2" t="s">
        <v>68</v>
      </c>
      <c r="F63" s="11" t="s">
        <v>33</v>
      </c>
      <c r="G63" s="9">
        <v>4</v>
      </c>
      <c r="H63" s="5"/>
      <c r="I63" s="7">
        <v>1</v>
      </c>
      <c r="M63" s="11" t="s">
        <v>379</v>
      </c>
      <c r="N63" s="11" t="s">
        <v>383</v>
      </c>
    </row>
    <row r="64" spans="1:14" x14ac:dyDescent="0.3">
      <c r="A64" s="11" t="s">
        <v>241</v>
      </c>
      <c r="B64" s="4">
        <v>45608</v>
      </c>
      <c r="C64" s="11"/>
      <c r="D64" t="s">
        <v>242</v>
      </c>
      <c r="E64" s="2" t="s">
        <v>119</v>
      </c>
      <c r="F64" s="11" t="s">
        <v>33</v>
      </c>
      <c r="G64" s="9" t="s">
        <v>28</v>
      </c>
      <c r="H64" s="5">
        <v>0.25</v>
      </c>
      <c r="I64" s="7"/>
      <c r="J64" s="9"/>
    </row>
    <row r="65" spans="1:14" x14ac:dyDescent="0.3">
      <c r="A65" s="11" t="s">
        <v>185</v>
      </c>
      <c r="B65" s="4">
        <v>45607</v>
      </c>
      <c r="C65" s="11"/>
      <c r="D65" s="2" t="s">
        <v>117</v>
      </c>
      <c r="E65" s="2" t="s">
        <v>70</v>
      </c>
      <c r="F65" s="11" t="s">
        <v>33</v>
      </c>
      <c r="G65" s="9">
        <v>6</v>
      </c>
      <c r="H65" s="5"/>
      <c r="I65" s="7"/>
      <c r="J65" s="9"/>
    </row>
    <row r="66" spans="1:14" x14ac:dyDescent="0.3">
      <c r="A66" s="11" t="s">
        <v>146</v>
      </c>
      <c r="B66" s="4">
        <v>45602</v>
      </c>
      <c r="C66" s="11"/>
      <c r="D66" s="2" t="s">
        <v>148</v>
      </c>
      <c r="E66" s="2" t="s">
        <v>71</v>
      </c>
      <c r="F66" s="11" t="s">
        <v>33</v>
      </c>
      <c r="G66" s="9">
        <v>20</v>
      </c>
      <c r="H66" s="5">
        <v>0.8</v>
      </c>
      <c r="I66" s="7"/>
      <c r="J66" s="9"/>
    </row>
    <row r="67" spans="1:14" x14ac:dyDescent="0.3">
      <c r="A67" s="11" t="s">
        <v>196</v>
      </c>
      <c r="B67" s="4">
        <v>45607</v>
      </c>
      <c r="C67" s="11"/>
      <c r="D67" s="2" t="s">
        <v>197</v>
      </c>
      <c r="E67" s="2" t="s">
        <v>71</v>
      </c>
      <c r="F67" s="11" t="s">
        <v>33</v>
      </c>
      <c r="G67" s="9">
        <v>19</v>
      </c>
      <c r="H67" s="5">
        <v>0.75</v>
      </c>
      <c r="I67" s="7"/>
      <c r="J67" s="9"/>
    </row>
    <row r="68" spans="1:14" x14ac:dyDescent="0.3">
      <c r="A68" s="11" t="s">
        <v>133</v>
      </c>
      <c r="B68" s="4">
        <v>45590</v>
      </c>
      <c r="C68" s="11"/>
      <c r="D68" s="2" t="s">
        <v>135</v>
      </c>
      <c r="E68" s="2" t="s">
        <v>134</v>
      </c>
      <c r="F68" s="11" t="s">
        <v>33</v>
      </c>
      <c r="G68" s="9" t="s">
        <v>28</v>
      </c>
      <c r="H68" s="5">
        <v>6</v>
      </c>
      <c r="I68" s="7"/>
      <c r="J68" s="9"/>
    </row>
    <row r="69" spans="1:14" x14ac:dyDescent="0.3">
      <c r="A69" s="11" t="s">
        <v>136</v>
      </c>
      <c r="B69" s="4">
        <v>45602</v>
      </c>
      <c r="C69" s="11"/>
      <c r="D69" s="2" t="s">
        <v>137</v>
      </c>
      <c r="E69" s="2" t="s">
        <v>134</v>
      </c>
      <c r="F69" s="11" t="s">
        <v>33</v>
      </c>
      <c r="G69" s="9">
        <v>25</v>
      </c>
      <c r="H69" s="5"/>
      <c r="I69" s="7">
        <v>1</v>
      </c>
      <c r="J69" s="9"/>
      <c r="N69" s="11" t="s">
        <v>138</v>
      </c>
    </row>
    <row r="70" spans="1:14" x14ac:dyDescent="0.3">
      <c r="A70" s="11" t="s">
        <v>181</v>
      </c>
      <c r="B70" s="4">
        <v>45607</v>
      </c>
      <c r="C70" s="11"/>
      <c r="D70" s="2" t="s">
        <v>182</v>
      </c>
      <c r="E70" s="2" t="s">
        <v>71</v>
      </c>
      <c r="F70" s="11" t="s">
        <v>33</v>
      </c>
      <c r="G70" s="9">
        <v>15</v>
      </c>
      <c r="H70" s="5">
        <v>1</v>
      </c>
      <c r="I70" s="7"/>
      <c r="J70" s="9"/>
    </row>
    <row r="71" spans="1:14" x14ac:dyDescent="0.3">
      <c r="A71" s="11" t="s">
        <v>94</v>
      </c>
      <c r="B71" s="4">
        <v>45588</v>
      </c>
      <c r="C71" s="11"/>
      <c r="D71" s="2" t="s">
        <v>95</v>
      </c>
      <c r="E71" s="2" t="s">
        <v>68</v>
      </c>
      <c r="F71" s="11" t="s">
        <v>33</v>
      </c>
      <c r="G71" s="9">
        <v>18</v>
      </c>
      <c r="H71" s="5">
        <v>2</v>
      </c>
      <c r="I71" s="7"/>
      <c r="J71" s="9"/>
    </row>
    <row r="72" spans="1:14" x14ac:dyDescent="0.3">
      <c r="A72" s="11" t="s">
        <v>31</v>
      </c>
      <c r="B72" s="4">
        <v>45586</v>
      </c>
      <c r="C72" s="11"/>
      <c r="D72" s="2" t="s">
        <v>32</v>
      </c>
      <c r="E72" s="2" t="s">
        <v>68</v>
      </c>
      <c r="F72" s="11" t="s">
        <v>33</v>
      </c>
      <c r="G72" s="9">
        <v>2</v>
      </c>
      <c r="H72" s="5">
        <v>1</v>
      </c>
      <c r="I72" s="7"/>
      <c r="J72" s="9"/>
      <c r="M72" s="11" t="s">
        <v>379</v>
      </c>
    </row>
    <row r="73" spans="1:14" x14ac:dyDescent="0.3">
      <c r="A73" s="11" t="s">
        <v>89</v>
      </c>
      <c r="B73" s="4">
        <v>45588</v>
      </c>
      <c r="C73" s="11"/>
      <c r="D73" t="s">
        <v>90</v>
      </c>
      <c r="E73" s="2" t="s">
        <v>91</v>
      </c>
      <c r="F73" s="11" t="s">
        <v>33</v>
      </c>
      <c r="G73" s="9">
        <v>8</v>
      </c>
      <c r="H73" s="5">
        <v>2</v>
      </c>
      <c r="I73" s="7"/>
      <c r="J73" s="9"/>
    </row>
    <row r="74" spans="1:14" x14ac:dyDescent="0.3">
      <c r="A74" s="11" t="s">
        <v>179</v>
      </c>
      <c r="B74" s="4">
        <v>45607</v>
      </c>
      <c r="C74" s="11"/>
      <c r="D74" s="2" t="s">
        <v>180</v>
      </c>
      <c r="E74" s="2" t="s">
        <v>68</v>
      </c>
      <c r="F74" s="11" t="s">
        <v>33</v>
      </c>
      <c r="G74" s="9">
        <v>1</v>
      </c>
      <c r="H74" s="5">
        <v>0.4</v>
      </c>
      <c r="I74" s="7"/>
      <c r="J74" s="9"/>
      <c r="M74" s="11" t="s">
        <v>379</v>
      </c>
    </row>
    <row r="75" spans="1:14" x14ac:dyDescent="0.3">
      <c r="A75" s="11" t="s">
        <v>166</v>
      </c>
      <c r="B75" s="4">
        <v>45607</v>
      </c>
      <c r="C75" s="11"/>
      <c r="D75" s="2" t="s">
        <v>167</v>
      </c>
      <c r="E75" s="2" t="s">
        <v>119</v>
      </c>
      <c r="F75" s="11" t="s">
        <v>33</v>
      </c>
      <c r="G75" s="9">
        <v>23</v>
      </c>
      <c r="H75" s="5">
        <v>4</v>
      </c>
      <c r="I75" s="7"/>
      <c r="J75" s="9"/>
    </row>
    <row r="76" spans="1:14" x14ac:dyDescent="0.3">
      <c r="A76" s="11" t="s">
        <v>143</v>
      </c>
      <c r="B76" s="4">
        <v>45602</v>
      </c>
      <c r="C76" s="11"/>
      <c r="D76" s="2" t="s">
        <v>144</v>
      </c>
      <c r="E76" s="2" t="s">
        <v>67</v>
      </c>
      <c r="F76" s="11" t="s">
        <v>33</v>
      </c>
      <c r="G76" s="9">
        <v>17</v>
      </c>
      <c r="H76" s="5"/>
      <c r="I76" s="7">
        <v>1</v>
      </c>
      <c r="J76" s="9"/>
    </row>
    <row r="77" spans="1:14" x14ac:dyDescent="0.3">
      <c r="A77" s="11" t="s">
        <v>404</v>
      </c>
      <c r="B77" s="4">
        <v>45973</v>
      </c>
      <c r="C77" s="11"/>
      <c r="D77" s="2" t="s">
        <v>405</v>
      </c>
      <c r="E77" s="2" t="s">
        <v>15</v>
      </c>
      <c r="F77" s="11"/>
      <c r="G77" s="9">
        <v>2</v>
      </c>
      <c r="H77" s="5"/>
      <c r="I77" s="7"/>
    </row>
    <row r="78" spans="1:14" x14ac:dyDescent="0.3">
      <c r="A78" s="11" t="s">
        <v>205</v>
      </c>
      <c r="B78" s="4">
        <v>45607</v>
      </c>
      <c r="C78" s="11"/>
      <c r="D78" t="s">
        <v>206</v>
      </c>
      <c r="E78" s="2" t="s">
        <v>15</v>
      </c>
      <c r="F78" s="11"/>
      <c r="G78" s="9">
        <v>24</v>
      </c>
      <c r="H78" s="5">
        <v>0.7</v>
      </c>
      <c r="I78" s="7"/>
      <c r="J78" s="9"/>
    </row>
    <row r="79" spans="1:14" x14ac:dyDescent="0.3">
      <c r="A79" s="11" t="s">
        <v>158</v>
      </c>
      <c r="B79" s="4">
        <v>45607</v>
      </c>
      <c r="C79" s="11"/>
      <c r="D79" s="2" t="s">
        <v>159</v>
      </c>
      <c r="E79" s="2" t="s">
        <v>14</v>
      </c>
      <c r="F79" s="11" t="s">
        <v>160</v>
      </c>
      <c r="G79" s="9">
        <v>8</v>
      </c>
      <c r="H79" s="5">
        <v>1</v>
      </c>
      <c r="I79" s="7"/>
      <c r="J79" s="9"/>
    </row>
    <row r="80" spans="1:14" x14ac:dyDescent="0.3">
      <c r="A80" s="11" t="s">
        <v>82</v>
      </c>
      <c r="B80" s="4">
        <v>45588</v>
      </c>
      <c r="C80" s="11"/>
      <c r="D80" s="2" t="s">
        <v>83</v>
      </c>
      <c r="E80" s="2" t="s">
        <v>14</v>
      </c>
      <c r="F80" s="11" t="s">
        <v>160</v>
      </c>
      <c r="G80" s="9">
        <v>5</v>
      </c>
      <c r="H80" s="5">
        <v>0.2</v>
      </c>
      <c r="I80" s="7"/>
      <c r="J80" s="9"/>
    </row>
    <row r="81" spans="1:14" x14ac:dyDescent="0.3">
      <c r="A81" s="11" t="s">
        <v>233</v>
      </c>
      <c r="B81" s="4">
        <v>45608</v>
      </c>
      <c r="C81" s="11" t="s">
        <v>394</v>
      </c>
      <c r="D81" s="2" t="s">
        <v>234</v>
      </c>
      <c r="E81" s="2" t="s">
        <v>13</v>
      </c>
      <c r="F81" s="11"/>
      <c r="G81" s="9">
        <v>14</v>
      </c>
      <c r="H81" s="5">
        <v>1</v>
      </c>
      <c r="I81" s="7"/>
      <c r="J81" s="9"/>
    </row>
    <row r="82" spans="1:14" x14ac:dyDescent="0.3">
      <c r="A82" s="11" t="s">
        <v>217</v>
      </c>
      <c r="B82" s="4">
        <v>45608</v>
      </c>
      <c r="C82" s="11"/>
      <c r="D82" s="2" t="s">
        <v>218</v>
      </c>
      <c r="E82" s="2" t="s">
        <v>215</v>
      </c>
      <c r="F82" s="11"/>
      <c r="G82" s="9">
        <v>1</v>
      </c>
      <c r="H82" s="5">
        <v>25</v>
      </c>
      <c r="I82" s="7"/>
      <c r="J82" s="9"/>
      <c r="L82" s="11" t="s">
        <v>385</v>
      </c>
    </row>
    <row r="83" spans="1:14" x14ac:dyDescent="0.3">
      <c r="A83" s="11" t="s">
        <v>223</v>
      </c>
      <c r="B83" s="4">
        <v>45608</v>
      </c>
      <c r="C83" s="11"/>
      <c r="D83" s="2" t="s">
        <v>224</v>
      </c>
      <c r="F83" s="11"/>
      <c r="G83" s="9">
        <v>2</v>
      </c>
      <c r="H83" s="5"/>
      <c r="I83" s="7"/>
      <c r="J83" s="9">
        <v>0</v>
      </c>
      <c r="L83" s="11" t="s">
        <v>385</v>
      </c>
    </row>
    <row r="84" spans="1:14" x14ac:dyDescent="0.3">
      <c r="A84" s="11" t="s">
        <v>265</v>
      </c>
      <c r="B84" s="4">
        <v>45609</v>
      </c>
      <c r="C84" s="11"/>
      <c r="D84" s="2" t="s">
        <v>266</v>
      </c>
      <c r="F84" s="11" t="s">
        <v>33</v>
      </c>
      <c r="G84" s="9">
        <v>9</v>
      </c>
      <c r="H84" s="5">
        <v>2</v>
      </c>
      <c r="I84" s="7"/>
      <c r="J84" s="9"/>
      <c r="L84" s="11" t="s">
        <v>385</v>
      </c>
    </row>
    <row r="85" spans="1:14" x14ac:dyDescent="0.3">
      <c r="A85" s="11" t="s">
        <v>126</v>
      </c>
      <c r="B85" s="4">
        <v>45590</v>
      </c>
      <c r="C85" s="11" t="str">
        <f>LEFT(Table3[[#This Row],[ID]],LEN(Table3[[#This Row],[ID]]) - 1)</f>
        <v>HEF4001</v>
      </c>
      <c r="D85" t="s">
        <v>128</v>
      </c>
      <c r="E85" s="2" t="s">
        <v>127</v>
      </c>
      <c r="F85" s="11" t="s">
        <v>23</v>
      </c>
      <c r="G85" s="9">
        <v>8</v>
      </c>
      <c r="H85" s="5">
        <v>0.3</v>
      </c>
      <c r="I85" s="7"/>
      <c r="J85" s="9"/>
    </row>
    <row r="86" spans="1:14" x14ac:dyDescent="0.3">
      <c r="A86" s="11" t="s">
        <v>108</v>
      </c>
      <c r="B86" s="4">
        <v>45588</v>
      </c>
      <c r="C86" s="11" t="str">
        <f>LEFT(Table3[[#This Row],[ID]],LEN(Table3[[#This Row],[ID]]) - 1)</f>
        <v>HEF4002</v>
      </c>
      <c r="D86" t="s">
        <v>109</v>
      </c>
      <c r="E86" s="2" t="s">
        <v>15</v>
      </c>
      <c r="F86" s="11" t="s">
        <v>23</v>
      </c>
      <c r="G86" s="9">
        <v>10</v>
      </c>
      <c r="H86" s="5">
        <v>0.6</v>
      </c>
      <c r="I86" s="7"/>
      <c r="J86" s="9"/>
    </row>
    <row r="87" spans="1:14" x14ac:dyDescent="0.3">
      <c r="A87" s="11" t="s">
        <v>191</v>
      </c>
      <c r="B87" s="4">
        <v>45607</v>
      </c>
      <c r="C87" s="11" t="str">
        <f>LEFT(Table3[[#This Row],[ID]],LEN(Table3[[#This Row],[ID]]) - 1)</f>
        <v>HEF4008</v>
      </c>
      <c r="D87" s="2" t="s">
        <v>190</v>
      </c>
      <c r="E87" s="2" t="s">
        <v>13</v>
      </c>
      <c r="F87" s="11" t="s">
        <v>23</v>
      </c>
      <c r="G87" s="9">
        <v>9</v>
      </c>
      <c r="H87" s="5">
        <v>0.7</v>
      </c>
      <c r="I87" s="7"/>
      <c r="J87" s="9"/>
    </row>
    <row r="88" spans="1:14" x14ac:dyDescent="0.3">
      <c r="A88" s="11" t="s">
        <v>10</v>
      </c>
      <c r="B88" s="4">
        <v>45584</v>
      </c>
      <c r="C88" s="11" t="str">
        <f>LEFT(Table3[[#This Row],[ID]],LEN(Table3[[#This Row],[ID]]) - 1)</f>
        <v>HEF40098</v>
      </c>
      <c r="D88" s="2" t="s">
        <v>11</v>
      </c>
      <c r="E88" s="2" t="s">
        <v>13</v>
      </c>
      <c r="F88" s="11" t="s">
        <v>23</v>
      </c>
      <c r="G88" s="9">
        <v>8</v>
      </c>
      <c r="H88" s="5">
        <v>1.4</v>
      </c>
      <c r="I88" s="7"/>
      <c r="J88" s="9"/>
    </row>
    <row r="89" spans="1:14" x14ac:dyDescent="0.3">
      <c r="A89" s="11" t="s">
        <v>48</v>
      </c>
      <c r="B89" s="4">
        <v>45586</v>
      </c>
      <c r="C89" s="11" t="str">
        <f>LEFT(Table3[[#This Row],[ID]],LEN(Table3[[#This Row],[ID]]) - 1)</f>
        <v>HEF40106</v>
      </c>
      <c r="D89" t="s">
        <v>49</v>
      </c>
      <c r="E89" s="2" t="s">
        <v>15</v>
      </c>
      <c r="F89" s="11" t="s">
        <v>23</v>
      </c>
      <c r="G89" s="9">
        <v>7</v>
      </c>
      <c r="H89" s="5">
        <v>0.3</v>
      </c>
      <c r="I89" s="7"/>
      <c r="J89" s="9"/>
    </row>
    <row r="90" spans="1:14" x14ac:dyDescent="0.3">
      <c r="A90" s="11" t="s">
        <v>55</v>
      </c>
      <c r="B90" s="4">
        <v>45586</v>
      </c>
      <c r="C90" s="11" t="str">
        <f>LEFT(Table3[[#This Row],[ID]],LEN(Table3[[#This Row],[ID]]) - 1)</f>
        <v>HEF4011</v>
      </c>
      <c r="D90" s="2" t="s">
        <v>52</v>
      </c>
      <c r="E90" s="2" t="s">
        <v>15</v>
      </c>
      <c r="F90" s="11" t="s">
        <v>23</v>
      </c>
      <c r="G90" s="9">
        <v>9</v>
      </c>
      <c r="H90" s="5">
        <v>0.8</v>
      </c>
      <c r="I90" s="7"/>
      <c r="J90" s="9"/>
    </row>
    <row r="91" spans="1:14" x14ac:dyDescent="0.3">
      <c r="A91" s="11" t="s">
        <v>64</v>
      </c>
      <c r="B91" s="4">
        <v>45586</v>
      </c>
      <c r="C91" s="11" t="str">
        <f>LEFT(Table3[[#This Row],[ID]],LEN(Table3[[#This Row],[ID]]) - 1)</f>
        <v>HEF4013</v>
      </c>
      <c r="D91" s="2" t="s">
        <v>65</v>
      </c>
      <c r="E91" s="2" t="s">
        <v>15</v>
      </c>
      <c r="F91" s="11" t="s">
        <v>23</v>
      </c>
      <c r="G91" s="9">
        <v>10</v>
      </c>
      <c r="H91" s="5">
        <v>2</v>
      </c>
      <c r="I91" s="7"/>
      <c r="J91" s="9"/>
    </row>
    <row r="92" spans="1:14" x14ac:dyDescent="0.3">
      <c r="A92" s="11" t="s">
        <v>88</v>
      </c>
      <c r="B92" s="4">
        <v>45588</v>
      </c>
      <c r="C92" s="11" t="str">
        <f>LEFT(Table3[[#This Row],[ID]],LEN(Table3[[#This Row],[ID]]) - 1)</f>
        <v>HEF4015</v>
      </c>
      <c r="D92" t="s">
        <v>87</v>
      </c>
      <c r="E92" s="2" t="s">
        <v>13</v>
      </c>
      <c r="F92" s="11" t="s">
        <v>23</v>
      </c>
      <c r="G92" s="9">
        <v>7</v>
      </c>
      <c r="H92" s="5">
        <v>0.5</v>
      </c>
      <c r="I92" s="7"/>
      <c r="J92" s="9"/>
    </row>
    <row r="93" spans="1:14" x14ac:dyDescent="0.3">
      <c r="A93" s="11" t="s">
        <v>98</v>
      </c>
      <c r="B93" s="4">
        <v>45588</v>
      </c>
      <c r="C93" s="11" t="str">
        <f>LEFT(Table3[[#This Row],[ID]],LEN(Table3[[#This Row],[ID]]) - 1)</f>
        <v>HEF4016</v>
      </c>
      <c r="D93" t="s">
        <v>99</v>
      </c>
      <c r="E93" s="2" t="s">
        <v>15</v>
      </c>
      <c r="F93" s="11" t="s">
        <v>23</v>
      </c>
      <c r="G93" s="9">
        <v>6</v>
      </c>
      <c r="H93" s="5">
        <v>0.2</v>
      </c>
      <c r="I93" s="7"/>
      <c r="J93" s="9"/>
      <c r="N93" s="11" t="s">
        <v>132</v>
      </c>
    </row>
    <row r="94" spans="1:14" x14ac:dyDescent="0.3">
      <c r="A94" s="11" t="s">
        <v>106</v>
      </c>
      <c r="B94" s="4">
        <v>45588</v>
      </c>
      <c r="C94" s="11" t="str">
        <f>LEFT(Table3[[#This Row],[ID]],LEN(Table3[[#This Row],[ID]]) - 1)</f>
        <v>HEF4017</v>
      </c>
      <c r="D94" t="s">
        <v>107</v>
      </c>
      <c r="E94" s="2" t="s">
        <v>13</v>
      </c>
      <c r="F94" s="11" t="s">
        <v>23</v>
      </c>
      <c r="G94" s="9">
        <v>1</v>
      </c>
      <c r="H94" s="5">
        <v>0.5</v>
      </c>
      <c r="I94" s="7"/>
      <c r="J94" s="9"/>
    </row>
    <row r="95" spans="1:14" x14ac:dyDescent="0.3">
      <c r="A95" s="11" t="s">
        <v>114</v>
      </c>
      <c r="B95" s="4">
        <v>45588</v>
      </c>
      <c r="C95" s="11" t="str">
        <f>LEFT(Table3[[#This Row],[ID]],LEN(Table3[[#This Row],[ID]]) - 1)</f>
        <v>HEF40192</v>
      </c>
      <c r="D95" t="s">
        <v>115</v>
      </c>
      <c r="E95" s="2" t="s">
        <v>13</v>
      </c>
      <c r="F95" s="11" t="s">
        <v>23</v>
      </c>
      <c r="G95" s="9">
        <v>8</v>
      </c>
      <c r="H95" s="5">
        <v>1</v>
      </c>
      <c r="I95" s="7"/>
      <c r="J95" s="9"/>
    </row>
    <row r="96" spans="1:14" x14ac:dyDescent="0.3">
      <c r="A96" s="11" t="s">
        <v>286</v>
      </c>
      <c r="B96" s="4">
        <v>45609</v>
      </c>
      <c r="C96" s="11" t="str">
        <f>LEFT(Table3[[#This Row],[ID]],LEN(Table3[[#This Row],[ID]]) - 1)</f>
        <v>HEF40193</v>
      </c>
      <c r="D96" s="2" t="s">
        <v>287</v>
      </c>
      <c r="E96" s="2" t="s">
        <v>15</v>
      </c>
      <c r="F96" s="11" t="s">
        <v>23</v>
      </c>
      <c r="G96" s="9">
        <v>21</v>
      </c>
      <c r="H96" s="5">
        <v>0.6</v>
      </c>
      <c r="I96" s="7"/>
      <c r="J96" s="9"/>
    </row>
    <row r="97" spans="1:10" x14ac:dyDescent="0.3">
      <c r="A97" s="11" t="s">
        <v>169</v>
      </c>
      <c r="B97" s="4">
        <v>45607</v>
      </c>
      <c r="C97" s="11" t="str">
        <f>LEFT(Table3[[#This Row],[ID]],LEN(Table3[[#This Row],[ID]]) - 1)</f>
        <v>HEF40194</v>
      </c>
      <c r="D97" s="2" t="s">
        <v>170</v>
      </c>
      <c r="E97" s="2" t="s">
        <v>13</v>
      </c>
      <c r="F97" s="11" t="s">
        <v>23</v>
      </c>
      <c r="G97" s="9">
        <v>7</v>
      </c>
      <c r="H97" s="5">
        <v>1.5</v>
      </c>
      <c r="I97" s="7"/>
      <c r="J97" s="9"/>
    </row>
    <row r="98" spans="1:10" x14ac:dyDescent="0.3">
      <c r="A98" s="11" t="s">
        <v>149</v>
      </c>
      <c r="B98" s="4">
        <v>45602</v>
      </c>
      <c r="C98" s="11" t="str">
        <f>LEFT(Table3[[#This Row],[ID]],LEN(Table3[[#This Row],[ID]]) - 1)</f>
        <v>HEF4019</v>
      </c>
      <c r="D98" t="s">
        <v>150</v>
      </c>
      <c r="E98" s="2" t="s">
        <v>13</v>
      </c>
      <c r="F98" s="11" t="s">
        <v>23</v>
      </c>
      <c r="G98" s="9">
        <v>10</v>
      </c>
      <c r="H98" s="5">
        <v>0.5</v>
      </c>
      <c r="I98" s="7"/>
      <c r="J98" s="9"/>
    </row>
    <row r="99" spans="1:10" x14ac:dyDescent="0.3">
      <c r="A99" s="11" t="s">
        <v>163</v>
      </c>
      <c r="B99" s="4">
        <v>45607</v>
      </c>
      <c r="C99" s="11" t="str">
        <f>LEFT(Table3[[#This Row],[ID]],LEN(Table3[[#This Row],[ID]]) - 1)</f>
        <v>HEF4021</v>
      </c>
      <c r="D99" s="2" t="s">
        <v>165</v>
      </c>
      <c r="E99" s="2" t="s">
        <v>164</v>
      </c>
      <c r="F99" s="11" t="s">
        <v>23</v>
      </c>
      <c r="G99" s="9">
        <v>8</v>
      </c>
      <c r="H99" s="5">
        <v>1.25</v>
      </c>
      <c r="I99" s="7"/>
      <c r="J99" s="9"/>
    </row>
    <row r="100" spans="1:10" x14ac:dyDescent="0.3">
      <c r="A100" s="11" t="s">
        <v>53</v>
      </c>
      <c r="B100" s="4">
        <v>45586</v>
      </c>
      <c r="C100" s="11" t="str">
        <f>LEFT(Table3[[#This Row],[ID]],LEN(Table3[[#This Row],[ID]]) - 1)</f>
        <v>HEF4022</v>
      </c>
      <c r="D100" s="2" t="s">
        <v>50</v>
      </c>
      <c r="E100" s="2" t="s">
        <v>13</v>
      </c>
      <c r="F100" s="11" t="s">
        <v>23</v>
      </c>
      <c r="G100" s="9">
        <v>6</v>
      </c>
      <c r="H100" s="5">
        <v>6</v>
      </c>
      <c r="I100" s="7"/>
      <c r="J100" s="9"/>
    </row>
    <row r="101" spans="1:10" x14ac:dyDescent="0.3">
      <c r="A101" s="11" t="s">
        <v>58</v>
      </c>
      <c r="B101" s="4">
        <v>45586</v>
      </c>
      <c r="C101" s="11" t="str">
        <f>LEFT(Table3[[#This Row],[ID]],LEN(Table3[[#This Row],[ID]]) - 1)</f>
        <v>HEF4023</v>
      </c>
      <c r="D101" s="2" t="s">
        <v>59</v>
      </c>
      <c r="E101" s="2" t="s">
        <v>15</v>
      </c>
      <c r="F101" s="11" t="s">
        <v>23</v>
      </c>
      <c r="G101" s="9">
        <v>10</v>
      </c>
      <c r="H101" s="5">
        <v>0.5</v>
      </c>
      <c r="I101" s="7"/>
      <c r="J101" s="9"/>
    </row>
    <row r="102" spans="1:10" x14ac:dyDescent="0.3">
      <c r="A102" s="11" t="s">
        <v>72</v>
      </c>
      <c r="B102" s="4">
        <v>45588</v>
      </c>
      <c r="C102" s="11" t="str">
        <f>LEFT(Table3[[#This Row],[ID]],LEN(Table3[[#This Row],[ID]]) - 1)</f>
        <v>HEF4025</v>
      </c>
      <c r="D102" s="2" t="s">
        <v>73</v>
      </c>
      <c r="E102" s="2" t="s">
        <v>15</v>
      </c>
      <c r="F102" s="11" t="s">
        <v>23</v>
      </c>
      <c r="G102" s="9">
        <v>8</v>
      </c>
      <c r="H102" s="5">
        <v>1</v>
      </c>
      <c r="I102" s="7"/>
      <c r="J102" s="9"/>
    </row>
    <row r="103" spans="1:10" x14ac:dyDescent="0.3">
      <c r="A103" s="11" t="s">
        <v>96</v>
      </c>
      <c r="B103" s="4">
        <v>45588</v>
      </c>
      <c r="C103" s="11" t="str">
        <f>LEFT(Table3[[#This Row],[ID]],LEN(Table3[[#This Row],[ID]]) - 1)</f>
        <v>HEF4027</v>
      </c>
      <c r="D103" s="2" t="s">
        <v>97</v>
      </c>
      <c r="E103" s="2" t="s">
        <v>13</v>
      </c>
      <c r="F103" s="11" t="s">
        <v>23</v>
      </c>
      <c r="G103" s="9">
        <v>6</v>
      </c>
      <c r="H103" s="5">
        <v>0.4</v>
      </c>
      <c r="I103" s="7">
        <v>1</v>
      </c>
      <c r="J103" s="9"/>
    </row>
    <row r="104" spans="1:10" x14ac:dyDescent="0.3">
      <c r="A104" s="11" t="s">
        <v>110</v>
      </c>
      <c r="B104" s="4">
        <v>45588</v>
      </c>
      <c r="C104" s="11" t="str">
        <f>LEFT(Table3[[#This Row],[ID]],LEN(Table3[[#This Row],[ID]]) - 1)</f>
        <v>HEF4028</v>
      </c>
      <c r="D104" t="s">
        <v>111</v>
      </c>
      <c r="E104" s="2" t="s">
        <v>13</v>
      </c>
      <c r="F104" s="11" t="s">
        <v>23</v>
      </c>
      <c r="G104" s="9">
        <v>10</v>
      </c>
      <c r="H104" s="5">
        <v>1</v>
      </c>
      <c r="I104" s="7"/>
      <c r="J104" s="9"/>
    </row>
    <row r="105" spans="1:10" x14ac:dyDescent="0.3">
      <c r="A105" s="11" t="s">
        <v>122</v>
      </c>
      <c r="B105" s="4">
        <v>45588</v>
      </c>
      <c r="C105" s="11" t="str">
        <f>LEFT(Table3[[#This Row],[ID]],LEN(Table3[[#This Row],[ID]]) - 1)</f>
        <v>HEF4030</v>
      </c>
      <c r="D105" t="s">
        <v>121</v>
      </c>
      <c r="E105" s="2" t="s">
        <v>15</v>
      </c>
      <c r="F105" s="11" t="s">
        <v>23</v>
      </c>
      <c r="G105" s="9">
        <v>10</v>
      </c>
      <c r="H105" s="5">
        <v>0.5</v>
      </c>
      <c r="I105" s="7"/>
      <c r="J105" s="9"/>
    </row>
    <row r="106" spans="1:10" x14ac:dyDescent="0.3">
      <c r="A106" s="11" t="s">
        <v>139</v>
      </c>
      <c r="B106" s="4">
        <v>45602</v>
      </c>
      <c r="C106" s="11" t="str">
        <f>LEFT(Table3[[#This Row],[ID]],LEN(Table3[[#This Row],[ID]]) - 1)</f>
        <v>HEF4035</v>
      </c>
      <c r="D106" s="2" t="s">
        <v>140</v>
      </c>
      <c r="E106" s="2" t="s">
        <v>13</v>
      </c>
      <c r="F106" s="11" t="s">
        <v>23</v>
      </c>
      <c r="G106" s="9">
        <v>10</v>
      </c>
      <c r="H106" s="5"/>
      <c r="I106" s="7">
        <v>1</v>
      </c>
      <c r="J106" s="9"/>
    </row>
    <row r="107" spans="1:10" x14ac:dyDescent="0.3">
      <c r="A107" s="11" t="s">
        <v>100</v>
      </c>
      <c r="B107" s="4">
        <v>45588</v>
      </c>
      <c r="C107" s="11" t="str">
        <f>LEFT(Table3[[#This Row],[ID]],LEN(Table3[[#This Row],[ID]]) - 1)</f>
        <v>HEF40374</v>
      </c>
      <c r="D107" t="s">
        <v>102</v>
      </c>
      <c r="E107" s="2" t="s">
        <v>101</v>
      </c>
      <c r="F107" s="11" t="s">
        <v>23</v>
      </c>
      <c r="G107" s="9">
        <v>6</v>
      </c>
      <c r="H107" s="5">
        <v>1.8</v>
      </c>
      <c r="I107" s="7"/>
      <c r="J107" s="9"/>
    </row>
    <row r="108" spans="1:10" x14ac:dyDescent="0.3">
      <c r="A108" s="11" t="s">
        <v>54</v>
      </c>
      <c r="B108" s="4">
        <v>45586</v>
      </c>
      <c r="C108" s="11" t="str">
        <f>LEFT(Table3[[#This Row],[ID]],LEN(Table3[[#This Row],[ID]]) - 1)</f>
        <v>HEF4040</v>
      </c>
      <c r="D108" s="2" t="s">
        <v>51</v>
      </c>
      <c r="E108" s="2" t="s">
        <v>13</v>
      </c>
      <c r="F108" s="11" t="s">
        <v>23</v>
      </c>
      <c r="G108" s="9">
        <v>9</v>
      </c>
      <c r="H108" s="5">
        <v>2</v>
      </c>
      <c r="I108" s="7"/>
      <c r="J108" s="9"/>
    </row>
    <row r="109" spans="1:10" x14ac:dyDescent="0.3">
      <c r="A109" s="11" t="s">
        <v>54</v>
      </c>
      <c r="B109" s="4">
        <v>45586</v>
      </c>
      <c r="C109" s="11" t="str">
        <f>LEFT(Table3[[#This Row],[ID]],LEN(Table3[[#This Row],[ID]]) - 1)</f>
        <v>HEF4040</v>
      </c>
      <c r="D109" s="2" t="s">
        <v>63</v>
      </c>
      <c r="E109" s="2" t="s">
        <v>13</v>
      </c>
      <c r="F109" s="11" t="s">
        <v>23</v>
      </c>
      <c r="G109" s="9">
        <v>8</v>
      </c>
      <c r="H109" s="5">
        <v>1</v>
      </c>
      <c r="I109" s="7"/>
      <c r="J109" s="9"/>
    </row>
    <row r="110" spans="1:10" x14ac:dyDescent="0.3">
      <c r="A110" s="11" t="s">
        <v>173</v>
      </c>
      <c r="B110" s="4">
        <v>45607</v>
      </c>
      <c r="C110" s="11" t="str">
        <f>LEFT(Table3[[#This Row],[ID]],LEN(Table3[[#This Row],[ID]]) - 1)</f>
        <v>HEF4041</v>
      </c>
      <c r="D110" s="2" t="s">
        <v>174</v>
      </c>
      <c r="E110" s="2" t="s">
        <v>15</v>
      </c>
      <c r="F110" s="11" t="s">
        <v>23</v>
      </c>
      <c r="G110" s="9">
        <v>9</v>
      </c>
      <c r="H110" s="5">
        <v>0.5</v>
      </c>
      <c r="I110" s="7"/>
      <c r="J110" s="9"/>
    </row>
    <row r="111" spans="1:10" x14ac:dyDescent="0.3">
      <c r="A111" s="11" t="s">
        <v>211</v>
      </c>
      <c r="B111" s="4">
        <v>45607</v>
      </c>
      <c r="C111" s="11" t="str">
        <f>LEFT(Table3[[#This Row],[ID]],LEN(Table3[[#This Row],[ID]]) - 1)</f>
        <v>HEF4046</v>
      </c>
      <c r="D111" t="s">
        <v>212</v>
      </c>
      <c r="E111" s="2" t="s">
        <v>13</v>
      </c>
      <c r="F111" s="11" t="s">
        <v>23</v>
      </c>
      <c r="G111" s="9">
        <f>27</f>
        <v>27</v>
      </c>
      <c r="H111" s="5">
        <v>0.5</v>
      </c>
      <c r="I111" s="7"/>
      <c r="J111" s="9"/>
    </row>
    <row r="112" spans="1:10" x14ac:dyDescent="0.3">
      <c r="A112" s="11" t="s">
        <v>46</v>
      </c>
      <c r="B112" s="4">
        <v>45586</v>
      </c>
      <c r="C112" s="11" t="str">
        <f>LEFT(Table3[[#This Row],[ID]],LEN(Table3[[#This Row],[ID]]) - 1)</f>
        <v>HEF4047</v>
      </c>
      <c r="D112" t="s">
        <v>47</v>
      </c>
      <c r="E112" s="2" t="s">
        <v>15</v>
      </c>
      <c r="F112" s="11" t="s">
        <v>23</v>
      </c>
      <c r="G112" s="9">
        <f>7+35</f>
        <v>42</v>
      </c>
      <c r="H112" s="5">
        <v>0.3</v>
      </c>
      <c r="I112" s="7"/>
      <c r="J112" s="9"/>
    </row>
    <row r="113" spans="1:14" x14ac:dyDescent="0.3">
      <c r="A113" s="11" t="s">
        <v>56</v>
      </c>
      <c r="B113" s="4">
        <v>45586</v>
      </c>
      <c r="C113" s="11" t="str">
        <f>LEFT(Table3[[#This Row],[ID]],LEN(Table3[[#This Row],[ID]]) - 1)</f>
        <v>HEF4049</v>
      </c>
      <c r="D113" s="2" t="s">
        <v>57</v>
      </c>
      <c r="E113" s="2" t="s">
        <v>13</v>
      </c>
      <c r="F113" s="11" t="s">
        <v>23</v>
      </c>
      <c r="G113" s="9">
        <v>10</v>
      </c>
      <c r="H113" s="5">
        <v>0.5</v>
      </c>
      <c r="I113" s="7"/>
      <c r="J113" s="9"/>
    </row>
    <row r="114" spans="1:14" x14ac:dyDescent="0.3">
      <c r="A114" s="11" t="s">
        <v>387</v>
      </c>
      <c r="B114" s="4">
        <v>45602</v>
      </c>
      <c r="C114" s="11" t="str">
        <f>LEFT(Table3[[#This Row],[ID]],LEN(Table3[[#This Row],[ID]]) - 1)</f>
        <v>HEF4050</v>
      </c>
      <c r="D114" s="2" t="s">
        <v>154</v>
      </c>
      <c r="E114" s="2" t="s">
        <v>13</v>
      </c>
      <c r="F114" s="11" t="s">
        <v>23</v>
      </c>
      <c r="G114" s="9">
        <v>4</v>
      </c>
      <c r="H114" s="5">
        <v>0.4</v>
      </c>
      <c r="I114" s="7"/>
      <c r="J114" s="9"/>
    </row>
    <row r="115" spans="1:14" x14ac:dyDescent="0.3">
      <c r="A115" s="11" t="s">
        <v>151</v>
      </c>
      <c r="B115" s="4">
        <v>45602</v>
      </c>
      <c r="C115" s="11" t="str">
        <f>LEFT(Table3[[#This Row],[ID]],LEN(Table3[[#This Row],[ID]]) - 1)</f>
        <v>HEF4051</v>
      </c>
      <c r="D115" t="s">
        <v>152</v>
      </c>
      <c r="E115" s="2" t="s">
        <v>13</v>
      </c>
      <c r="F115" s="11" t="s">
        <v>23</v>
      </c>
      <c r="G115" s="9">
        <v>35</v>
      </c>
      <c r="H115" s="5">
        <v>0.5</v>
      </c>
      <c r="I115" s="7"/>
      <c r="J115" s="9"/>
    </row>
    <row r="116" spans="1:14" x14ac:dyDescent="0.3">
      <c r="A116" s="11" t="s">
        <v>141</v>
      </c>
      <c r="B116" s="4">
        <v>45602</v>
      </c>
      <c r="C116" s="11" t="str">
        <f>LEFT(Table3[[#This Row],[ID]],LEN(Table3[[#This Row],[ID]]) - 1)</f>
        <v>HEF4053</v>
      </c>
      <c r="D116" s="2" t="s">
        <v>142</v>
      </c>
      <c r="E116" s="2" t="s">
        <v>13</v>
      </c>
      <c r="F116" s="11" t="s">
        <v>23</v>
      </c>
      <c r="G116" s="9">
        <f>8+29</f>
        <v>37</v>
      </c>
      <c r="H116" s="5">
        <v>0.3</v>
      </c>
      <c r="I116" s="7"/>
      <c r="J116" s="9"/>
    </row>
    <row r="117" spans="1:14" x14ac:dyDescent="0.3">
      <c r="A117" s="11" t="s">
        <v>129</v>
      </c>
      <c r="B117" s="4">
        <v>45590</v>
      </c>
      <c r="C117" s="11" t="str">
        <f>LEFT(Table3[[#This Row],[ID]],LEN(Table3[[#This Row],[ID]]) - 1)</f>
        <v>HEF4066</v>
      </c>
      <c r="D117" t="s">
        <v>130</v>
      </c>
      <c r="E117" s="2" t="s">
        <v>127</v>
      </c>
      <c r="F117" s="11" t="s">
        <v>23</v>
      </c>
      <c r="G117" s="9">
        <v>5</v>
      </c>
      <c r="H117" s="5">
        <v>0.4</v>
      </c>
      <c r="I117" s="7"/>
      <c r="J117" s="9"/>
      <c r="N117" s="11" t="s">
        <v>131</v>
      </c>
    </row>
    <row r="118" spans="1:14" x14ac:dyDescent="0.3">
      <c r="A118" s="11" t="s">
        <v>124</v>
      </c>
      <c r="B118" s="4">
        <v>45590</v>
      </c>
      <c r="C118" s="11" t="str">
        <f>LEFT(Table3[[#This Row],[ID]],LEN(Table3[[#This Row],[ID]]) - 1)</f>
        <v>HEF4071</v>
      </c>
      <c r="D118" t="s">
        <v>125</v>
      </c>
      <c r="E118" s="2" t="s">
        <v>15</v>
      </c>
      <c r="F118" s="11" t="s">
        <v>23</v>
      </c>
      <c r="G118" s="9">
        <v>8</v>
      </c>
      <c r="H118" s="5">
        <v>0.4</v>
      </c>
      <c r="I118" s="7"/>
      <c r="J118" s="9"/>
    </row>
    <row r="119" spans="1:14" x14ac:dyDescent="0.3">
      <c r="A119" s="11" t="s">
        <v>8</v>
      </c>
      <c r="B119" s="4">
        <v>45584</v>
      </c>
      <c r="C119" s="11" t="str">
        <f>LEFT(Table3[[#This Row],[ID]],LEN(Table3[[#This Row],[ID]]) - 1)</f>
        <v>HEF4077</v>
      </c>
      <c r="D119" s="2" t="s">
        <v>9</v>
      </c>
      <c r="E119" s="2" t="s">
        <v>15</v>
      </c>
      <c r="F119" s="11" t="s">
        <v>23</v>
      </c>
      <c r="G119" s="9">
        <v>7</v>
      </c>
      <c r="H119" s="5">
        <v>0.5</v>
      </c>
      <c r="I119" s="7"/>
      <c r="J119" s="9"/>
    </row>
    <row r="120" spans="1:14" x14ac:dyDescent="0.3">
      <c r="A120" s="11" t="s">
        <v>20</v>
      </c>
      <c r="B120" s="4">
        <v>45584</v>
      </c>
      <c r="C120" s="11" t="str">
        <f>LEFT(Table3[[#This Row],[ID]],LEN(Table3[[#This Row],[ID]]) - 1)</f>
        <v>HEF4104</v>
      </c>
      <c r="D120" s="2" t="s">
        <v>21</v>
      </c>
      <c r="E120" s="2" t="s">
        <v>13</v>
      </c>
      <c r="F120" s="11" t="s">
        <v>23</v>
      </c>
      <c r="G120" s="9">
        <v>10</v>
      </c>
      <c r="H120" s="5">
        <v>5</v>
      </c>
      <c r="I120" s="7"/>
      <c r="J120" s="9"/>
    </row>
    <row r="121" spans="1:14" x14ac:dyDescent="0.3">
      <c r="A121" s="11" t="s">
        <v>40</v>
      </c>
      <c r="B121" s="4">
        <v>45586</v>
      </c>
      <c r="C121" s="11" t="str">
        <f>LEFT(Table3[[#This Row],[ID]],LEN(Table3[[#This Row],[ID]]) - 1)</f>
        <v>HEF4510</v>
      </c>
      <c r="D121" s="2" t="s">
        <v>41</v>
      </c>
      <c r="E121" s="2" t="s">
        <v>13</v>
      </c>
      <c r="F121" s="11" t="s">
        <v>23</v>
      </c>
      <c r="G121" s="9">
        <v>9</v>
      </c>
      <c r="H121" s="5">
        <v>1.4</v>
      </c>
      <c r="I121" s="7"/>
      <c r="J121" s="9"/>
    </row>
    <row r="122" spans="1:14" x14ac:dyDescent="0.3">
      <c r="A122" s="11" t="s">
        <v>29</v>
      </c>
      <c r="B122" s="4">
        <v>45586</v>
      </c>
      <c r="C122" s="11" t="str">
        <f>LEFT(Table3[[#This Row],[ID]],LEN(Table3[[#This Row],[ID]]) - 1)</f>
        <v>HEF4512</v>
      </c>
      <c r="D122" t="s">
        <v>30</v>
      </c>
      <c r="E122" s="2" t="s">
        <v>13</v>
      </c>
      <c r="F122" s="11" t="s">
        <v>23</v>
      </c>
      <c r="G122" s="9">
        <v>10</v>
      </c>
      <c r="H122" s="5">
        <v>1</v>
      </c>
      <c r="I122" s="7"/>
      <c r="J122" s="9"/>
    </row>
    <row r="123" spans="1:14" x14ac:dyDescent="0.3">
      <c r="A123" s="11" t="s">
        <v>177</v>
      </c>
      <c r="B123" s="4">
        <v>45607</v>
      </c>
      <c r="C123" s="11" t="str">
        <f>LEFT(Table3[[#This Row],[ID]],LEN(Table3[[#This Row],[ID]]) - 1)</f>
        <v>HEF4518</v>
      </c>
      <c r="D123" t="s">
        <v>178</v>
      </c>
      <c r="E123" s="2" t="s">
        <v>13</v>
      </c>
      <c r="F123" s="11" t="s">
        <v>23</v>
      </c>
      <c r="G123" s="9">
        <v>7</v>
      </c>
      <c r="H123" s="5">
        <v>0.7</v>
      </c>
      <c r="I123" s="7"/>
      <c r="J123" s="9"/>
    </row>
    <row r="124" spans="1:14" x14ac:dyDescent="0.3">
      <c r="A124" s="11" t="s">
        <v>161</v>
      </c>
      <c r="B124" s="4">
        <v>45607</v>
      </c>
      <c r="C124" s="11" t="str">
        <f>LEFT(Table3[[#This Row],[ID]],LEN(Table3[[#This Row],[ID]]) - 1)</f>
        <v>HEF45415</v>
      </c>
      <c r="D124" s="2" t="s">
        <v>410</v>
      </c>
      <c r="E124" s="2" t="s">
        <v>162</v>
      </c>
      <c r="F124" s="11" t="s">
        <v>23</v>
      </c>
      <c r="G124" s="9">
        <v>5</v>
      </c>
      <c r="H124" s="5">
        <v>2</v>
      </c>
      <c r="I124" s="7"/>
      <c r="J124" s="9">
        <v>0</v>
      </c>
      <c r="N124" s="11" t="s">
        <v>411</v>
      </c>
    </row>
    <row r="125" spans="1:14" x14ac:dyDescent="0.3">
      <c r="A125" s="11" t="s">
        <v>188</v>
      </c>
      <c r="B125" s="4">
        <v>45607</v>
      </c>
      <c r="C125" s="11" t="str">
        <f>LEFT(Table3[[#This Row],[ID]],LEN(Table3[[#This Row],[ID]]) - 1)</f>
        <v>HEF4543</v>
      </c>
      <c r="D125" s="2" t="s">
        <v>189</v>
      </c>
      <c r="E125" s="2" t="s">
        <v>13</v>
      </c>
      <c r="F125" s="11" t="s">
        <v>23</v>
      </c>
      <c r="G125" s="9">
        <v>10</v>
      </c>
      <c r="H125" s="5">
        <v>0.4</v>
      </c>
      <c r="I125" s="7"/>
      <c r="J125" s="9"/>
    </row>
    <row r="126" spans="1:14" x14ac:dyDescent="0.3">
      <c r="A126" s="11" t="s">
        <v>194</v>
      </c>
      <c r="B126" s="4">
        <v>45607</v>
      </c>
      <c r="C126" s="11"/>
      <c r="D126" t="s">
        <v>195</v>
      </c>
      <c r="E126" s="2" t="s">
        <v>13</v>
      </c>
      <c r="F126" s="11"/>
      <c r="G126" s="9">
        <v>4</v>
      </c>
      <c r="H126" s="5">
        <v>1</v>
      </c>
      <c r="I126" s="7"/>
      <c r="J126" s="9"/>
    </row>
    <row r="127" spans="1:14" x14ac:dyDescent="0.3">
      <c r="A127" s="11" t="s">
        <v>258</v>
      </c>
      <c r="B127" s="4">
        <v>45609</v>
      </c>
      <c r="C127" s="11"/>
      <c r="D127" s="2" t="s">
        <v>259</v>
      </c>
      <c r="F127" s="11"/>
      <c r="G127" s="9">
        <v>5</v>
      </c>
      <c r="H127" s="5">
        <v>5</v>
      </c>
      <c r="I127" s="7"/>
      <c r="J127" s="9"/>
      <c r="L127" s="11" t="s">
        <v>385</v>
      </c>
    </row>
    <row r="128" spans="1:14" x14ac:dyDescent="0.3">
      <c r="A128" s="11" t="s">
        <v>260</v>
      </c>
      <c r="B128" s="4">
        <v>45609</v>
      </c>
      <c r="C128" s="11"/>
      <c r="D128" s="2" t="s">
        <v>261</v>
      </c>
      <c r="E128" s="2" t="s">
        <v>262</v>
      </c>
      <c r="F128" s="11" t="s">
        <v>33</v>
      </c>
      <c r="G128" s="9">
        <v>1</v>
      </c>
      <c r="H128" s="5"/>
      <c r="I128" s="7">
        <v>1</v>
      </c>
      <c r="J128" s="9"/>
      <c r="L128" s="11" t="s">
        <v>385</v>
      </c>
    </row>
    <row r="129" spans="1:14" x14ac:dyDescent="0.3">
      <c r="A129" s="11" t="s">
        <v>225</v>
      </c>
      <c r="B129" s="4">
        <v>45608</v>
      </c>
      <c r="C129" s="11"/>
      <c r="D129" s="2" t="s">
        <v>226</v>
      </c>
      <c r="F129" s="11"/>
      <c r="G129" s="9">
        <v>3</v>
      </c>
      <c r="H129" s="5"/>
      <c r="I129" s="7"/>
      <c r="J129" s="9">
        <v>0</v>
      </c>
      <c r="L129" s="11" t="s">
        <v>385</v>
      </c>
    </row>
    <row r="130" spans="1:14" x14ac:dyDescent="0.3">
      <c r="A130" s="11" t="s">
        <v>403</v>
      </c>
      <c r="B130" s="4">
        <v>45973</v>
      </c>
      <c r="C130" s="11"/>
      <c r="D130" t="s">
        <v>400</v>
      </c>
      <c r="E130" s="2" t="s">
        <v>401</v>
      </c>
      <c r="F130" s="11" t="s">
        <v>402</v>
      </c>
      <c r="G130" s="9">
        <v>2</v>
      </c>
      <c r="H130" s="5"/>
      <c r="I130" s="7"/>
    </row>
    <row r="131" spans="1:14" x14ac:dyDescent="0.3">
      <c r="A131" s="11" t="s">
        <v>398</v>
      </c>
      <c r="B131" s="4">
        <v>45931</v>
      </c>
      <c r="C131" s="11"/>
      <c r="D131" s="2" t="s">
        <v>399</v>
      </c>
      <c r="E131" s="2" t="s">
        <v>27</v>
      </c>
      <c r="F131" s="11" t="s">
        <v>402</v>
      </c>
      <c r="G131" s="9">
        <v>10</v>
      </c>
      <c r="H131" s="5">
        <v>0.35</v>
      </c>
      <c r="I131" s="7"/>
    </row>
    <row r="132" spans="1:14" x14ac:dyDescent="0.3">
      <c r="A132" s="11" t="s">
        <v>275</v>
      </c>
      <c r="B132" s="4">
        <v>45609</v>
      </c>
      <c r="C132" s="11"/>
      <c r="D132" s="2" t="s">
        <v>276</v>
      </c>
      <c r="F132" s="11"/>
      <c r="G132" s="9">
        <v>3</v>
      </c>
      <c r="H132" s="5"/>
      <c r="I132" s="7">
        <v>1</v>
      </c>
      <c r="J132" s="9">
        <v>0</v>
      </c>
      <c r="L132" s="11" t="s">
        <v>385</v>
      </c>
    </row>
    <row r="133" spans="1:14" x14ac:dyDescent="0.3">
      <c r="A133" s="11" t="s">
        <v>279</v>
      </c>
      <c r="B133" s="4">
        <v>45609</v>
      </c>
      <c r="C133" s="11"/>
      <c r="D133" s="2" t="s">
        <v>7</v>
      </c>
      <c r="F133" s="11" t="s">
        <v>35</v>
      </c>
      <c r="G133" s="9">
        <v>9</v>
      </c>
      <c r="H133" s="5">
        <v>25</v>
      </c>
      <c r="I133" s="7"/>
      <c r="J133" s="9"/>
    </row>
    <row r="134" spans="1:14" x14ac:dyDescent="0.3">
      <c r="A134" s="11" t="s">
        <v>103</v>
      </c>
      <c r="B134" s="4">
        <v>45588</v>
      </c>
      <c r="C134" s="11"/>
      <c r="D134" t="s">
        <v>104</v>
      </c>
      <c r="E134" s="2" t="s">
        <v>105</v>
      </c>
      <c r="F134" s="11" t="s">
        <v>33</v>
      </c>
      <c r="G134" s="9">
        <v>17</v>
      </c>
      <c r="H134" s="5"/>
      <c r="I134" s="7">
        <v>1</v>
      </c>
      <c r="J134" s="9"/>
      <c r="L134" s="11" t="s">
        <v>385</v>
      </c>
    </row>
    <row r="135" spans="1:14" x14ac:dyDescent="0.3">
      <c r="A135" s="11" t="s">
        <v>34</v>
      </c>
      <c r="B135" s="4">
        <v>45586</v>
      </c>
      <c r="C135" s="11"/>
      <c r="D135" s="2" t="s">
        <v>7</v>
      </c>
      <c r="E135" s="2" t="s">
        <v>69</v>
      </c>
      <c r="F135" s="11" t="s">
        <v>35</v>
      </c>
      <c r="G135" s="9">
        <v>3</v>
      </c>
      <c r="H135" s="5">
        <v>20</v>
      </c>
      <c r="I135" s="7"/>
      <c r="J135" s="9"/>
      <c r="M135" s="11" t="s">
        <v>378</v>
      </c>
    </row>
    <row r="136" spans="1:14" x14ac:dyDescent="0.3">
      <c r="A136" s="11" t="s">
        <v>247</v>
      </c>
      <c r="B136" s="4">
        <v>45608</v>
      </c>
      <c r="C136" s="11"/>
      <c r="D136" t="s">
        <v>248</v>
      </c>
      <c r="E136" s="2" t="s">
        <v>27</v>
      </c>
      <c r="F136" s="11"/>
      <c r="G136" s="9">
        <v>24</v>
      </c>
      <c r="H136" s="5">
        <v>2</v>
      </c>
      <c r="I136" s="7"/>
      <c r="J136" s="9"/>
    </row>
    <row r="137" spans="1:14" x14ac:dyDescent="0.3">
      <c r="A137" s="11" t="s">
        <v>43</v>
      </c>
      <c r="B137" s="4">
        <v>45586</v>
      </c>
      <c r="C137" s="11"/>
      <c r="D137" s="2" t="s">
        <v>42</v>
      </c>
      <c r="E137" s="2" t="s">
        <v>27</v>
      </c>
      <c r="F137" s="11"/>
      <c r="G137" s="9">
        <v>4</v>
      </c>
      <c r="H137" s="5">
        <v>0.4</v>
      </c>
      <c r="I137" s="7"/>
      <c r="J137" s="9"/>
    </row>
    <row r="138" spans="1:14" x14ac:dyDescent="0.3">
      <c r="A138" s="11" t="s">
        <v>38</v>
      </c>
      <c r="B138" s="4">
        <v>45586</v>
      </c>
      <c r="C138" s="11"/>
      <c r="D138" s="2" t="s">
        <v>39</v>
      </c>
      <c r="E138" s="2" t="s">
        <v>15</v>
      </c>
      <c r="F138" s="11" t="s">
        <v>35</v>
      </c>
      <c r="G138" s="9">
        <v>5</v>
      </c>
      <c r="H138" s="5">
        <v>1</v>
      </c>
      <c r="I138" s="7"/>
      <c r="J138" s="9"/>
    </row>
    <row r="139" spans="1:14" x14ac:dyDescent="0.3">
      <c r="A139" s="11" t="s">
        <v>76</v>
      </c>
      <c r="B139" s="4">
        <v>45588</v>
      </c>
      <c r="C139" s="11"/>
      <c r="D139" t="s">
        <v>77</v>
      </c>
      <c r="E139" s="2" t="s">
        <v>15</v>
      </c>
      <c r="F139" s="11" t="s">
        <v>35</v>
      </c>
      <c r="G139" s="9">
        <v>1</v>
      </c>
      <c r="H139" s="5">
        <v>0.35</v>
      </c>
      <c r="I139" s="7"/>
      <c r="J139" s="9"/>
      <c r="M139" s="11" t="s">
        <v>378</v>
      </c>
    </row>
    <row r="140" spans="1:14" x14ac:dyDescent="0.3">
      <c r="A140" s="11" t="s">
        <v>309</v>
      </c>
      <c r="B140" s="4">
        <v>45602</v>
      </c>
      <c r="C140" s="11"/>
      <c r="D140" s="2" t="s">
        <v>145</v>
      </c>
      <c r="F140" s="11" t="s">
        <v>33</v>
      </c>
      <c r="G140" s="9">
        <v>4</v>
      </c>
      <c r="H140" s="5">
        <v>1.5</v>
      </c>
      <c r="I140" s="7"/>
      <c r="J140" s="9"/>
      <c r="L140" s="11" t="s">
        <v>385</v>
      </c>
    </row>
    <row r="141" spans="1:14" x14ac:dyDescent="0.3">
      <c r="A141" s="11" t="s">
        <v>406</v>
      </c>
      <c r="B141" s="4">
        <v>45973</v>
      </c>
      <c r="C141" s="11"/>
      <c r="D141" s="4" t="s">
        <v>407</v>
      </c>
      <c r="E141" s="2" t="s">
        <v>27</v>
      </c>
      <c r="F141" s="11"/>
      <c r="G141" s="9">
        <v>2</v>
      </c>
      <c r="H141" s="5"/>
      <c r="I141" s="7"/>
    </row>
    <row r="142" spans="1:14" x14ac:dyDescent="0.3">
      <c r="A142" s="11" t="s">
        <v>16</v>
      </c>
      <c r="B142" s="4">
        <v>45584</v>
      </c>
      <c r="C142" s="11"/>
      <c r="D142" s="2" t="s">
        <v>18</v>
      </c>
      <c r="E142" s="2" t="s">
        <v>17</v>
      </c>
      <c r="F142" s="11"/>
      <c r="G142" s="9">
        <v>3</v>
      </c>
      <c r="H142" s="5">
        <v>1</v>
      </c>
      <c r="I142" s="7"/>
      <c r="J142" s="9"/>
      <c r="N142" s="11" t="s">
        <v>19</v>
      </c>
    </row>
    <row r="143" spans="1:14" x14ac:dyDescent="0.3">
      <c r="A143" s="11" t="s">
        <v>171</v>
      </c>
      <c r="B143" s="4">
        <v>45607</v>
      </c>
      <c r="C143" s="11"/>
      <c r="D143" t="s">
        <v>172</v>
      </c>
      <c r="E143" s="2" t="s">
        <v>27</v>
      </c>
      <c r="F143" s="11" t="s">
        <v>33</v>
      </c>
      <c r="G143" s="9">
        <v>1</v>
      </c>
      <c r="H143" s="5">
        <v>0.2</v>
      </c>
      <c r="I143" s="7"/>
      <c r="J143" s="9"/>
      <c r="M143" s="11" t="s">
        <v>378</v>
      </c>
    </row>
    <row r="144" spans="1:14" x14ac:dyDescent="0.3">
      <c r="A144" s="11" t="s">
        <v>183</v>
      </c>
      <c r="B144" s="4">
        <v>45607</v>
      </c>
      <c r="C144" s="11"/>
      <c r="D144" s="2" t="s">
        <v>184</v>
      </c>
      <c r="E144" s="2" t="s">
        <v>15</v>
      </c>
      <c r="F144" s="11"/>
      <c r="G144" s="9">
        <v>7</v>
      </c>
      <c r="H144" s="5"/>
      <c r="I144" s="7">
        <v>1</v>
      </c>
      <c r="J144" s="9"/>
    </row>
    <row r="145" spans="1:14" x14ac:dyDescent="0.3">
      <c r="A145" s="11" t="s">
        <v>168</v>
      </c>
      <c r="B145" s="4">
        <v>45607</v>
      </c>
      <c r="C145" s="11"/>
      <c r="D145" s="2" t="s">
        <v>7</v>
      </c>
      <c r="E145" s="2" t="s">
        <v>27</v>
      </c>
      <c r="F145" s="11" t="s">
        <v>35</v>
      </c>
      <c r="G145" s="9">
        <v>3</v>
      </c>
      <c r="H145" s="5">
        <v>0.8</v>
      </c>
      <c r="I145" s="7"/>
      <c r="J145" s="9"/>
      <c r="M145" s="11" t="s">
        <v>378</v>
      </c>
    </row>
    <row r="146" spans="1:14" x14ac:dyDescent="0.3">
      <c r="A146" s="11" t="s">
        <v>78</v>
      </c>
      <c r="B146" s="4">
        <v>45588</v>
      </c>
      <c r="C146" s="11"/>
      <c r="D146" t="s">
        <v>79</v>
      </c>
      <c r="E146" s="2" t="s">
        <v>68</v>
      </c>
      <c r="F146" s="11" t="s">
        <v>33</v>
      </c>
      <c r="G146" s="9">
        <v>6</v>
      </c>
      <c r="H146" s="5">
        <v>1.3</v>
      </c>
      <c r="I146" s="7"/>
      <c r="J146" s="9"/>
    </row>
    <row r="147" spans="1:14" x14ac:dyDescent="0.3">
      <c r="A147" s="11" t="s">
        <v>202</v>
      </c>
      <c r="B147" s="4">
        <v>45607</v>
      </c>
      <c r="C147" s="11"/>
      <c r="D147" t="s">
        <v>203</v>
      </c>
      <c r="E147" s="2" t="s">
        <v>68</v>
      </c>
      <c r="F147" s="11" t="s">
        <v>33</v>
      </c>
      <c r="G147" s="9">
        <v>16</v>
      </c>
      <c r="H147" s="5">
        <v>1.5</v>
      </c>
      <c r="I147" s="7"/>
      <c r="J147" s="9"/>
    </row>
    <row r="148" spans="1:14" x14ac:dyDescent="0.3">
      <c r="A148" s="11" t="s">
        <v>333</v>
      </c>
      <c r="B148" s="4">
        <v>45612</v>
      </c>
      <c r="C148" s="11"/>
      <c r="D148" s="2" t="s">
        <v>117</v>
      </c>
      <c r="E148" s="2" t="s">
        <v>13</v>
      </c>
      <c r="F148" s="11"/>
      <c r="G148" s="9">
        <v>13</v>
      </c>
      <c r="H148" s="5"/>
      <c r="I148" s="7"/>
      <c r="J148" s="9">
        <v>0</v>
      </c>
    </row>
    <row r="149" spans="1:14" x14ac:dyDescent="0.3">
      <c r="A149" s="11" t="s">
        <v>277</v>
      </c>
      <c r="B149" s="4">
        <v>45609</v>
      </c>
      <c r="C149" s="11"/>
      <c r="D149" s="2" t="s">
        <v>7</v>
      </c>
      <c r="E149" s="2" t="s">
        <v>27</v>
      </c>
      <c r="F149" s="11" t="s">
        <v>35</v>
      </c>
      <c r="G149" s="9">
        <v>6</v>
      </c>
      <c r="H149" s="5">
        <v>5</v>
      </c>
      <c r="I149" s="7"/>
      <c r="J149" s="9"/>
      <c r="M149" s="11" t="s">
        <v>378</v>
      </c>
    </row>
    <row r="150" spans="1:14" x14ac:dyDescent="0.3">
      <c r="A150" s="11" t="s">
        <v>312</v>
      </c>
      <c r="B150" s="4">
        <v>45610</v>
      </c>
      <c r="C150" s="11"/>
      <c r="D150" s="2" t="s">
        <v>313</v>
      </c>
      <c r="E150" s="2" t="s">
        <v>27</v>
      </c>
      <c r="F150" s="11"/>
      <c r="G150" s="9">
        <v>4</v>
      </c>
      <c r="H150" s="5">
        <v>10</v>
      </c>
      <c r="I150" s="7"/>
      <c r="J150" s="9"/>
    </row>
    <row r="151" spans="1:14" x14ac:dyDescent="0.3">
      <c r="A151" s="11" t="s">
        <v>280</v>
      </c>
      <c r="B151" s="4">
        <v>45609</v>
      </c>
      <c r="C151" s="11"/>
      <c r="D151" s="2" t="s">
        <v>281</v>
      </c>
      <c r="E151" s="2" t="s">
        <v>253</v>
      </c>
      <c r="F151" s="11"/>
      <c r="G151" s="9">
        <v>3</v>
      </c>
      <c r="H151" s="5"/>
      <c r="I151" s="7">
        <v>1</v>
      </c>
      <c r="J151" s="9"/>
      <c r="L151" s="11" t="s">
        <v>385</v>
      </c>
    </row>
    <row r="152" spans="1:14" x14ac:dyDescent="0.3">
      <c r="A152" s="11" t="s">
        <v>208</v>
      </c>
      <c r="B152" s="4">
        <v>45607</v>
      </c>
      <c r="C152" s="11"/>
      <c r="D152" s="2" t="s">
        <v>209</v>
      </c>
      <c r="E152" s="2" t="s">
        <v>15</v>
      </c>
      <c r="F152" s="11"/>
      <c r="G152" s="9">
        <v>2</v>
      </c>
      <c r="H152" s="5">
        <v>0.75</v>
      </c>
      <c r="I152" s="7"/>
      <c r="J152" s="9"/>
      <c r="N152" s="11" t="s">
        <v>210</v>
      </c>
    </row>
    <row r="153" spans="1:14" x14ac:dyDescent="0.3">
      <c r="A153" s="11" t="s">
        <v>235</v>
      </c>
      <c r="B153" s="4">
        <v>45608</v>
      </c>
      <c r="C153" s="11"/>
      <c r="D153" s="2" t="s">
        <v>236</v>
      </c>
      <c r="E153" s="2" t="s">
        <v>27</v>
      </c>
      <c r="F153" s="11" t="s">
        <v>35</v>
      </c>
      <c r="G153" s="9">
        <v>8</v>
      </c>
      <c r="H153" s="5">
        <v>0.4</v>
      </c>
      <c r="I153" s="7"/>
      <c r="J153" s="9"/>
    </row>
    <row r="154" spans="1:14" x14ac:dyDescent="0.3">
      <c r="A154" s="11" t="s">
        <v>221</v>
      </c>
      <c r="B154" s="4">
        <v>45608</v>
      </c>
      <c r="C154" s="11"/>
      <c r="D154" s="2" t="s">
        <v>222</v>
      </c>
      <c r="E154" s="2" t="s">
        <v>15</v>
      </c>
      <c r="F154" s="11" t="s">
        <v>35</v>
      </c>
      <c r="G154" s="9">
        <v>3</v>
      </c>
      <c r="H154" s="5">
        <v>4</v>
      </c>
      <c r="I154" s="7">
        <v>1</v>
      </c>
      <c r="J154" s="9"/>
      <c r="M154" s="11" t="s">
        <v>378</v>
      </c>
    </row>
    <row r="155" spans="1:14" x14ac:dyDescent="0.3">
      <c r="A155" s="11" t="s">
        <v>200</v>
      </c>
      <c r="B155" s="4">
        <v>45607</v>
      </c>
      <c r="C155" s="11"/>
      <c r="D155" t="s">
        <v>201</v>
      </c>
      <c r="E155" s="2" t="s">
        <v>68</v>
      </c>
      <c r="F155" s="11" t="s">
        <v>33</v>
      </c>
      <c r="G155" s="9">
        <v>7</v>
      </c>
      <c r="H155" s="5">
        <v>1</v>
      </c>
      <c r="I155" s="7"/>
      <c r="J155" s="9"/>
    </row>
    <row r="156" spans="1:14" x14ac:dyDescent="0.3">
      <c r="A156" s="11" t="s">
        <v>80</v>
      </c>
      <c r="B156" s="4">
        <v>45588</v>
      </c>
      <c r="C156" s="11"/>
      <c r="D156" t="s">
        <v>81</v>
      </c>
      <c r="E156" s="2" t="s">
        <v>67</v>
      </c>
      <c r="F156" s="11" t="s">
        <v>33</v>
      </c>
      <c r="G156" s="9">
        <v>4</v>
      </c>
      <c r="H156" s="5"/>
      <c r="I156" s="7"/>
      <c r="J156" s="9"/>
      <c r="M156" s="11" t="s">
        <v>379</v>
      </c>
    </row>
    <row r="157" spans="1:14" x14ac:dyDescent="0.3">
      <c r="A157" s="4" t="s">
        <v>257</v>
      </c>
      <c r="B157" s="4">
        <v>45609</v>
      </c>
      <c r="C157" s="4"/>
      <c r="D157" s="2" t="s">
        <v>7</v>
      </c>
      <c r="E157" s="2" t="s">
        <v>27</v>
      </c>
      <c r="F157" s="11" t="s">
        <v>35</v>
      </c>
      <c r="G157" s="9">
        <v>5</v>
      </c>
      <c r="H157" s="5"/>
      <c r="I157" s="7">
        <v>1</v>
      </c>
      <c r="J157" s="9"/>
      <c r="M157" s="11" t="s">
        <v>378</v>
      </c>
    </row>
    <row r="158" spans="1:14" x14ac:dyDescent="0.3">
      <c r="A158" s="11" t="s">
        <v>26</v>
      </c>
      <c r="B158" s="4">
        <v>45586</v>
      </c>
      <c r="C158" s="11"/>
      <c r="D158" s="2" t="s">
        <v>7</v>
      </c>
      <c r="E158" s="2" t="s">
        <v>27</v>
      </c>
      <c r="F158" s="11" t="s">
        <v>35</v>
      </c>
      <c r="G158" s="9" t="s">
        <v>28</v>
      </c>
      <c r="H158" s="5">
        <v>1</v>
      </c>
      <c r="I158" s="7"/>
      <c r="J158" s="9"/>
    </row>
    <row r="159" spans="1:14" x14ac:dyDescent="0.3">
      <c r="A159" s="11" t="s">
        <v>389</v>
      </c>
      <c r="B159" s="4">
        <v>45616</v>
      </c>
      <c r="C159" s="11"/>
      <c r="D159" s="2" t="s">
        <v>390</v>
      </c>
      <c r="E159" s="2" t="s">
        <v>27</v>
      </c>
      <c r="F159" s="11" t="s">
        <v>160</v>
      </c>
      <c r="G159" s="9">
        <v>5</v>
      </c>
      <c r="H159" s="5">
        <v>1</v>
      </c>
      <c r="I159" s="7"/>
      <c r="L159" s="11" t="s">
        <v>391</v>
      </c>
    </row>
    <row r="160" spans="1:14" x14ac:dyDescent="0.3">
      <c r="A160" s="11" t="s">
        <v>278</v>
      </c>
      <c r="B160" s="4">
        <v>45609</v>
      </c>
      <c r="C160" s="11"/>
      <c r="D160" s="2" t="s">
        <v>7</v>
      </c>
      <c r="E160" s="2" t="s">
        <v>15</v>
      </c>
      <c r="F160" s="11" t="s">
        <v>35</v>
      </c>
      <c r="G160" s="9">
        <v>9</v>
      </c>
      <c r="H160" s="5"/>
      <c r="I160" s="7">
        <v>1</v>
      </c>
      <c r="J160" s="9"/>
    </row>
    <row r="161" spans="1:13" x14ac:dyDescent="0.3">
      <c r="A161" s="11" t="s">
        <v>116</v>
      </c>
      <c r="B161" s="4">
        <v>45588</v>
      </c>
      <c r="C161" s="11"/>
      <c r="D161" s="2" t="s">
        <v>117</v>
      </c>
      <c r="E161" s="2" t="s">
        <v>13</v>
      </c>
      <c r="F161" s="11"/>
      <c r="G161" s="9">
        <v>10</v>
      </c>
      <c r="H161" s="5">
        <v>15</v>
      </c>
      <c r="I161" s="7"/>
      <c r="J161" s="9">
        <v>0</v>
      </c>
    </row>
    <row r="162" spans="1:13" x14ac:dyDescent="0.3">
      <c r="A162" s="11" t="s">
        <v>392</v>
      </c>
      <c r="B162" s="4">
        <v>45616</v>
      </c>
      <c r="C162" s="11"/>
      <c r="D162" s="2" t="s">
        <v>83</v>
      </c>
      <c r="E162" s="2" t="s">
        <v>393</v>
      </c>
      <c r="F162" s="11" t="s">
        <v>160</v>
      </c>
      <c r="G162" s="9" t="s">
        <v>28</v>
      </c>
      <c r="H162" s="5">
        <v>0.2</v>
      </c>
      <c r="I162" s="7"/>
      <c r="L162" s="11" t="s">
        <v>391</v>
      </c>
    </row>
    <row r="163" spans="1:13" x14ac:dyDescent="0.3">
      <c r="A163" s="11" t="s">
        <v>254</v>
      </c>
      <c r="B163" s="4">
        <v>45609</v>
      </c>
      <c r="C163" s="11"/>
      <c r="D163" s="2" t="s">
        <v>255</v>
      </c>
      <c r="E163" s="2" t="s">
        <v>256</v>
      </c>
      <c r="F163" s="11"/>
      <c r="G163" s="9">
        <v>1</v>
      </c>
      <c r="H163" s="5">
        <v>12</v>
      </c>
      <c r="I163" s="7"/>
      <c r="J163" s="9"/>
      <c r="L163" s="11" t="s">
        <v>385</v>
      </c>
    </row>
    <row r="164" spans="1:13" x14ac:dyDescent="0.3">
      <c r="A164" s="11" t="s">
        <v>305</v>
      </c>
      <c r="B164" s="4">
        <v>45609</v>
      </c>
      <c r="C164" s="11"/>
      <c r="D164" s="2" t="s">
        <v>306</v>
      </c>
      <c r="E164" s="2" t="s">
        <v>15</v>
      </c>
      <c r="F164" s="11"/>
      <c r="G164" s="9">
        <v>12</v>
      </c>
      <c r="H164" s="5">
        <v>1</v>
      </c>
      <c r="I164" s="7"/>
      <c r="J164" s="9"/>
    </row>
    <row r="165" spans="1:13" x14ac:dyDescent="0.3">
      <c r="A165" s="11" t="s">
        <v>271</v>
      </c>
      <c r="B165" s="4">
        <v>45609</v>
      </c>
      <c r="C165" s="11"/>
      <c r="D165" s="2" t="s">
        <v>117</v>
      </c>
      <c r="E165" s="2" t="s">
        <v>13</v>
      </c>
      <c r="F165" s="11"/>
      <c r="G165" s="9">
        <v>13</v>
      </c>
      <c r="H165" s="5"/>
      <c r="I165" s="7"/>
      <c r="J165" s="9">
        <v>0</v>
      </c>
    </row>
    <row r="166" spans="1:13" x14ac:dyDescent="0.3">
      <c r="A166" s="11" t="s">
        <v>84</v>
      </c>
      <c r="B166" s="4">
        <v>45588</v>
      </c>
      <c r="C166" s="11"/>
      <c r="D166" t="s">
        <v>86</v>
      </c>
      <c r="E166" s="2" t="s">
        <v>15</v>
      </c>
      <c r="F166" s="11" t="s">
        <v>85</v>
      </c>
      <c r="G166" s="9">
        <v>10</v>
      </c>
      <c r="H166" s="5">
        <v>0.6</v>
      </c>
      <c r="I166" s="7"/>
      <c r="J166" s="9"/>
    </row>
    <row r="167" spans="1:13" x14ac:dyDescent="0.3">
      <c r="A167" s="11" t="s">
        <v>267</v>
      </c>
      <c r="B167" s="4">
        <v>45609</v>
      </c>
      <c r="C167" s="11"/>
      <c r="D167" s="2" t="s">
        <v>290</v>
      </c>
      <c r="E167" s="2" t="s">
        <v>15</v>
      </c>
      <c r="F167" s="11" t="s">
        <v>85</v>
      </c>
      <c r="G167" s="9" t="s">
        <v>28</v>
      </c>
      <c r="H167" s="5"/>
      <c r="I167" s="7"/>
      <c r="J167" s="9"/>
      <c r="K167" s="9">
        <v>1</v>
      </c>
    </row>
    <row r="168" spans="1:13" x14ac:dyDescent="0.3">
      <c r="A168" s="11" t="s">
        <v>192</v>
      </c>
      <c r="B168" s="4">
        <v>45607</v>
      </c>
      <c r="C168" s="11" t="s">
        <v>395</v>
      </c>
      <c r="D168" t="s">
        <v>193</v>
      </c>
      <c r="E168" s="2" t="s">
        <v>101</v>
      </c>
      <c r="F168" s="11"/>
      <c r="G168" s="9">
        <v>9</v>
      </c>
      <c r="H168" s="5">
        <v>2</v>
      </c>
      <c r="I168" s="7"/>
      <c r="J168" s="9"/>
    </row>
    <row r="169" spans="1:13" x14ac:dyDescent="0.3">
      <c r="A169" s="4" t="s">
        <v>6</v>
      </c>
      <c r="B169" s="4">
        <v>45584</v>
      </c>
      <c r="C169" s="4"/>
      <c r="D169" s="2" t="s">
        <v>7</v>
      </c>
      <c r="E169" s="2" t="s">
        <v>14</v>
      </c>
      <c r="F169" s="11" t="s">
        <v>35</v>
      </c>
      <c r="G169" s="9">
        <v>4</v>
      </c>
      <c r="H169" s="5">
        <v>3</v>
      </c>
      <c r="I169" s="7">
        <v>1</v>
      </c>
      <c r="J169" s="9"/>
      <c r="M169" s="11" t="s">
        <v>378</v>
      </c>
    </row>
    <row r="170" spans="1:13" x14ac:dyDescent="0.3">
      <c r="A170" s="11" t="s">
        <v>341</v>
      </c>
      <c r="B170" s="4">
        <v>45612</v>
      </c>
      <c r="C170" s="11"/>
      <c r="D170" s="2" t="s">
        <v>342</v>
      </c>
      <c r="E170" s="2" t="s">
        <v>13</v>
      </c>
      <c r="F170" s="11"/>
      <c r="G170" s="9">
        <v>3</v>
      </c>
      <c r="H170" s="5">
        <v>14</v>
      </c>
      <c r="I170" s="7"/>
      <c r="J170" s="9"/>
      <c r="M170" s="11" t="s">
        <v>377</v>
      </c>
    </row>
    <row r="171" spans="1:13" x14ac:dyDescent="0.3">
      <c r="A171" s="11" t="s">
        <v>347</v>
      </c>
      <c r="B171" s="4">
        <v>45612</v>
      </c>
      <c r="C171" s="11"/>
      <c r="D171" s="2" t="s">
        <v>348</v>
      </c>
      <c r="E171" s="2" t="s">
        <v>13</v>
      </c>
      <c r="F171" s="11"/>
      <c r="G171" s="9">
        <v>1</v>
      </c>
      <c r="H171" s="5">
        <v>3</v>
      </c>
      <c r="I171" s="7"/>
      <c r="J171" s="9"/>
      <c r="M171" s="11" t="s">
        <v>377</v>
      </c>
    </row>
    <row r="172" spans="1:13" x14ac:dyDescent="0.3">
      <c r="A172" s="11" t="s">
        <v>345</v>
      </c>
      <c r="B172" s="4">
        <v>45612</v>
      </c>
      <c r="C172" s="11"/>
      <c r="D172" s="2" t="s">
        <v>346</v>
      </c>
      <c r="E172" s="2" t="s">
        <v>13</v>
      </c>
      <c r="F172" s="11"/>
      <c r="G172" s="9">
        <v>3</v>
      </c>
      <c r="H172" s="5">
        <v>3</v>
      </c>
      <c r="I172" s="7"/>
      <c r="J172" s="9"/>
      <c r="M172" s="11" t="s">
        <v>377</v>
      </c>
    </row>
    <row r="173" spans="1:13" x14ac:dyDescent="0.3">
      <c r="A173" s="11" t="s">
        <v>343</v>
      </c>
      <c r="B173" s="4">
        <v>45612</v>
      </c>
      <c r="C173" s="11"/>
      <c r="D173" s="2" t="s">
        <v>344</v>
      </c>
      <c r="E173" s="2" t="s">
        <v>13</v>
      </c>
      <c r="F173" s="11"/>
      <c r="G173" s="9">
        <v>1</v>
      </c>
      <c r="H173" s="5">
        <v>8</v>
      </c>
      <c r="I173" s="7"/>
      <c r="J173" s="9"/>
    </row>
    <row r="174" spans="1:13" x14ac:dyDescent="0.3">
      <c r="A174" s="11" t="s">
        <v>263</v>
      </c>
      <c r="B174" s="4">
        <v>45609</v>
      </c>
      <c r="C174" s="11"/>
      <c r="D174" s="2" t="s">
        <v>264</v>
      </c>
      <c r="E174" s="2" t="s">
        <v>13</v>
      </c>
      <c r="F174" s="11"/>
      <c r="G174" s="9">
        <v>9</v>
      </c>
      <c r="H174" s="5">
        <v>11</v>
      </c>
      <c r="I174" s="7"/>
      <c r="J174" s="9"/>
    </row>
    <row r="175" spans="1:13" x14ac:dyDescent="0.3">
      <c r="A175" s="11" t="s">
        <v>339</v>
      </c>
      <c r="B175" s="4">
        <v>45612</v>
      </c>
      <c r="C175" s="11"/>
      <c r="D175" s="2" t="s">
        <v>340</v>
      </c>
      <c r="E175" s="2" t="s">
        <v>13</v>
      </c>
      <c r="F175" s="11"/>
      <c r="G175" s="9">
        <v>1</v>
      </c>
      <c r="H175" s="5">
        <v>15</v>
      </c>
      <c r="I175" s="7"/>
      <c r="J175" s="9"/>
      <c r="M175" s="11" t="s">
        <v>377</v>
      </c>
    </row>
    <row r="176" spans="1:13" x14ac:dyDescent="0.3">
      <c r="A176" s="11" t="s">
        <v>272</v>
      </c>
      <c r="B176" s="4">
        <v>45609</v>
      </c>
      <c r="C176" s="11"/>
      <c r="D176" s="2" t="s">
        <v>7</v>
      </c>
      <c r="E176" s="2" t="s">
        <v>27</v>
      </c>
      <c r="F176" s="11" t="s">
        <v>35</v>
      </c>
      <c r="G176" s="9">
        <v>13</v>
      </c>
      <c r="H176" s="5"/>
      <c r="I176" s="7">
        <v>1</v>
      </c>
      <c r="J176" s="9"/>
    </row>
    <row r="177" spans="1:14" x14ac:dyDescent="0.3">
      <c r="A177" s="11" t="s">
        <v>186</v>
      </c>
      <c r="B177" s="4">
        <v>45607</v>
      </c>
      <c r="C177" s="11"/>
      <c r="D177" t="s">
        <v>187</v>
      </c>
      <c r="F177" s="11" t="s">
        <v>33</v>
      </c>
      <c r="G177" s="9">
        <v>3</v>
      </c>
      <c r="H177" s="5">
        <v>5</v>
      </c>
      <c r="I177" s="7"/>
      <c r="J177" s="9"/>
      <c r="L177" s="11" t="s">
        <v>385</v>
      </c>
    </row>
    <row r="178" spans="1:14" x14ac:dyDescent="0.3">
      <c r="A178" s="11" t="s">
        <v>251</v>
      </c>
      <c r="B178" s="4">
        <v>45609</v>
      </c>
      <c r="C178" s="11"/>
      <c r="D178" t="s">
        <v>252</v>
      </c>
      <c r="E178" s="2" t="s">
        <v>253</v>
      </c>
      <c r="F178" s="11"/>
      <c r="G178" s="9">
        <v>2</v>
      </c>
      <c r="H178" s="5"/>
      <c r="I178" s="7">
        <v>1</v>
      </c>
      <c r="J178" s="9"/>
      <c r="L178" s="11" t="s">
        <v>385</v>
      </c>
    </row>
    <row r="179" spans="1:14" x14ac:dyDescent="0.3">
      <c r="A179" s="11" t="s">
        <v>219</v>
      </c>
      <c r="B179" s="4">
        <v>45608</v>
      </c>
      <c r="C179" s="11"/>
      <c r="D179" s="2" t="s">
        <v>220</v>
      </c>
      <c r="E179" s="2" t="s">
        <v>68</v>
      </c>
      <c r="F179" s="11" t="s">
        <v>33</v>
      </c>
      <c r="G179" s="9">
        <v>4</v>
      </c>
      <c r="H179" s="5">
        <v>0.9</v>
      </c>
      <c r="I179" s="7"/>
      <c r="J179" s="9"/>
    </row>
    <row r="180" spans="1:14" x14ac:dyDescent="0.3">
      <c r="A180" s="11" t="s">
        <v>384</v>
      </c>
      <c r="B180" s="4">
        <v>45616</v>
      </c>
      <c r="C180" s="11"/>
      <c r="D180" s="2" t="s">
        <v>176</v>
      </c>
      <c r="E180" s="2" t="s">
        <v>68</v>
      </c>
      <c r="F180" s="11" t="s">
        <v>33</v>
      </c>
      <c r="G180" s="9">
        <v>3</v>
      </c>
      <c r="H180" s="5"/>
      <c r="I180" s="7"/>
      <c r="M180" s="11" t="s">
        <v>379</v>
      </c>
      <c r="N180" s="11" t="s">
        <v>383</v>
      </c>
    </row>
    <row r="181" spans="1:14" x14ac:dyDescent="0.3">
      <c r="A181" s="11" t="s">
        <v>60</v>
      </c>
      <c r="B181" s="4">
        <v>45586</v>
      </c>
      <c r="C181" s="11"/>
      <c r="D181" s="2" t="s">
        <v>61</v>
      </c>
      <c r="E181" s="2" t="s">
        <v>68</v>
      </c>
      <c r="F181" s="11" t="s">
        <v>33</v>
      </c>
      <c r="G181" s="9">
        <v>1</v>
      </c>
      <c r="H181" s="5">
        <v>0.75</v>
      </c>
      <c r="I181" s="7"/>
      <c r="J181" s="9"/>
      <c r="M181" s="11" t="s">
        <v>379</v>
      </c>
    </row>
    <row r="182" spans="1:14" x14ac:dyDescent="0.3">
      <c r="A182" s="11" t="s">
        <v>370</v>
      </c>
      <c r="B182" s="4">
        <v>45612</v>
      </c>
      <c r="C182" s="11"/>
      <c r="D182" t="s">
        <v>371</v>
      </c>
      <c r="E182" s="2" t="s">
        <v>15</v>
      </c>
      <c r="F182" s="11" t="s">
        <v>35</v>
      </c>
      <c r="G182" s="9">
        <v>1</v>
      </c>
      <c r="H182" s="5"/>
      <c r="I182" s="7"/>
      <c r="J182" s="9"/>
      <c r="M182" s="11" t="s">
        <v>378</v>
      </c>
    </row>
    <row r="183" spans="1:14" x14ac:dyDescent="0.3">
      <c r="A183" s="11" t="s">
        <v>243</v>
      </c>
      <c r="B183" s="4">
        <v>45608</v>
      </c>
      <c r="C183" s="11"/>
      <c r="D183" s="2" t="s">
        <v>244</v>
      </c>
      <c r="F183" s="11" t="s">
        <v>33</v>
      </c>
      <c r="G183" s="9">
        <v>4</v>
      </c>
      <c r="H183" s="5"/>
      <c r="I183" s="7">
        <v>1</v>
      </c>
      <c r="J183" s="9">
        <v>0</v>
      </c>
      <c r="L183" s="11" t="s">
        <v>385</v>
      </c>
    </row>
    <row r="184" spans="1:14" x14ac:dyDescent="0.3">
      <c r="A184" s="11" t="s">
        <v>396</v>
      </c>
      <c r="B184" s="4">
        <v>45629</v>
      </c>
      <c r="C184" s="11"/>
      <c r="D184" s="2" t="s">
        <v>397</v>
      </c>
      <c r="E184" s="2" t="s">
        <v>13</v>
      </c>
      <c r="F184" s="11" t="s">
        <v>33</v>
      </c>
      <c r="G184" s="9">
        <v>10</v>
      </c>
      <c r="H184" s="5">
        <v>0.2</v>
      </c>
      <c r="I184" s="7"/>
      <c r="L184" s="11" t="s">
        <v>391</v>
      </c>
    </row>
    <row r="185" spans="1:14" x14ac:dyDescent="0.3">
      <c r="A185" s="11" t="s">
        <v>239</v>
      </c>
      <c r="B185" s="4">
        <v>45629</v>
      </c>
      <c r="C185" s="11"/>
      <c r="D185" s="2" t="s">
        <v>240</v>
      </c>
      <c r="E185" s="2" t="s">
        <v>17</v>
      </c>
      <c r="F185" s="11" t="s">
        <v>33</v>
      </c>
      <c r="G185" s="9">
        <v>21</v>
      </c>
      <c r="H185" s="5">
        <v>0.2</v>
      </c>
      <c r="I185" s="7"/>
      <c r="J185" s="9"/>
    </row>
    <row r="186" spans="1:14" x14ac:dyDescent="0.3">
      <c r="A186" s="11" t="s">
        <v>408</v>
      </c>
      <c r="B186" s="4">
        <v>45973</v>
      </c>
      <c r="C186" s="11"/>
      <c r="D186" t="s">
        <v>409</v>
      </c>
      <c r="E186" s="2" t="s">
        <v>27</v>
      </c>
      <c r="F186" s="11"/>
      <c r="G186" s="9">
        <v>2</v>
      </c>
      <c r="H186" s="5">
        <v>0.5</v>
      </c>
      <c r="I186" s="7"/>
    </row>
  </sheetData>
  <dataValidations count="1">
    <dataValidation type="whole" allowBlank="1" showInputMessage="1" showErrorMessage="1" sqref="J177:K1048576 I2:J186 L177:L178" xr:uid="{B545C138-3061-481A-AA4C-5D47CBE799A5}">
      <formula1>0</formula1>
      <formula2>1</formula2>
    </dataValidation>
  </dataValidations>
  <pageMargins left="0.25" right="0.25" top="0.75" bottom="0.75" header="0.3" footer="0.3"/>
  <pageSetup paperSize="9" scale="94" fitToHeight="0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Components</vt:lpstr>
      <vt:lpstr>Components!Print_Area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Siegel</dc:creator>
  <cp:lastModifiedBy>Erik Siegel</cp:lastModifiedBy>
  <cp:lastPrinted>2024-11-20T16:01:11Z</cp:lastPrinted>
  <dcterms:created xsi:type="dcterms:W3CDTF">2024-10-19T13:38:22Z</dcterms:created>
  <dcterms:modified xsi:type="dcterms:W3CDTF">2026-01-29T15:30:14Z</dcterms:modified>
</cp:coreProperties>
</file>